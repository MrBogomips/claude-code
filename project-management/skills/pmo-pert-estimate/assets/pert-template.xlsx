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esource Plan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FFFFFFFF"/>
    </font>
    <font>
      <b val="1"/>
    </font>
    <font/>
    <font>
      <i val="1"/>
    </font>
    <font>
      <b val="1"/>
      <color rgb="FFFF0000"/>
    </font>
  </fonts>
  <fills count="7">
    <fill>
      <patternFill/>
    </fill>
    <fill>
      <patternFill patternType="gray125"/>
    </fill>
    <fill>
      <patternFill patternType="solid">
        <fgColor rgb="FF1B4FA5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2F2F2F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4" fontId="2" fillId="2" borderId="0" applyAlignment="1" pivotButton="0" quotePrefix="0" xfId="0">
      <alignment wrapText="1"/>
    </xf>
    <xf numFmtId="4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4" fontId="3" fillId="4" borderId="0" applyAlignment="1" pivotButton="0" quotePrefix="0" xfId="0">
      <alignment wrapText="1"/>
    </xf>
    <xf numFmtId="4" fontId="3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" fontId="4" fillId="0" borderId="0" applyAlignment="1" pivotButton="0" quotePrefix="0" xfId="0">
      <alignment wrapText="1"/>
    </xf>
    <xf numFmtId="4" fontId="4" fillId="3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4" fontId="2" fillId="5" borderId="1" applyAlignment="1" pivotButton="0" quotePrefix="0" xfId="0">
      <alignment wrapText="1"/>
    </xf>
    <xf numFmtId="4" fontId="2" fillId="3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4" fontId="0" fillId="6" borderId="0" pivotButton="0" quotePrefix="0" xfId="0"/>
    <xf numFmtId="0" fontId="6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25" customWidth="1" min="14" max="14"/>
    <col width="20" customWidth="1" min="15" max="15"/>
    <col width="20" customWidth="1" min="16" max="16"/>
    <col width="25" customWidth="1" min="17" max="17"/>
    <col width="10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Work Package</t>
        </is>
      </c>
      <c r="D1" s="1" t="inlineStr">
        <is>
          <t>Activity</t>
        </is>
      </c>
      <c r="E1" s="1" t="inlineStr">
        <is>
          <t>Best Effort (pd)</t>
        </is>
      </c>
      <c r="F1" s="1" t="inlineStr">
        <is>
          <t>Likely Effort (pd)</t>
        </is>
      </c>
      <c r="G1" s="1" t="inlineStr">
        <is>
          <t>Worst Effort (pd)</t>
        </is>
      </c>
      <c r="H1" s="1" t="inlineStr">
        <is>
          <t>PERT Effort (pd)</t>
        </is>
      </c>
      <c r="I1" s="1" t="inlineStr">
        <is>
          <t>Best Duration (d)</t>
        </is>
      </c>
      <c r="J1" s="1" t="inlineStr">
        <is>
          <t>Likely Duration (d)</t>
        </is>
      </c>
      <c r="K1" s="1" t="inlineStr">
        <is>
          <t>Worst Duration (d)</t>
        </is>
      </c>
      <c r="L1" s="1" t="inlineStr">
        <is>
          <t>PERT Duration (d)</t>
        </is>
      </c>
      <c r="M1" s="1" t="inlineStr">
        <is>
          <t>σ Duration</t>
        </is>
      </c>
      <c r="N1" s="1" t="inlineStr">
        <is>
          <t>Resources</t>
        </is>
      </c>
      <c r="O1" s="1" t="inlineStr">
        <is>
          <t>Dependencies</t>
        </is>
      </c>
      <c r="P1" s="1" t="inlineStr">
        <is>
          <t>Risks</t>
        </is>
      </c>
      <c r="Q1" s="1" t="inlineStr">
        <is>
          <t>Notes</t>
        </is>
      </c>
      <c r="R1" s="1" t="inlineStr">
        <is>
          <t>Billable</t>
        </is>
      </c>
      <c r="S1" s="1" t="inlineStr">
        <is>
          <t>Billable PERT Effort</t>
        </is>
      </c>
    </row>
    <row r="2">
      <c r="A2" s="2" t="inlineStr">
        <is>
          <t>1</t>
        </is>
      </c>
      <c r="B2" s="2" t="inlineStr">
        <is>
          <t>Analysis</t>
        </is>
      </c>
      <c r="C2" s="2" t="n"/>
      <c r="D2" s="2" t="n"/>
      <c r="E2" s="3">
        <f>SUM(E4,E5,E7,E8)</f>
        <v/>
      </c>
      <c r="F2" s="3">
        <f>SUM(F4,F5,F7,F8)</f>
        <v/>
      </c>
      <c r="G2" s="3">
        <f>SUM(G4,G5,G7,G8)</f>
        <v/>
      </c>
      <c r="H2" s="4">
        <f>(E2+4*F2+G2)/6</f>
        <v/>
      </c>
      <c r="I2" s="3">
        <f>SUM(I4,I5,I7,I8)</f>
        <v/>
      </c>
      <c r="J2" s="3">
        <f>SUM(J4,J5,J7,J8)</f>
        <v/>
      </c>
      <c r="K2" s="3">
        <f>SUM(K4,K5,K7,K8)</f>
        <v/>
      </c>
      <c r="L2" s="4">
        <f>(I2+4*J2+K2)/6</f>
        <v/>
      </c>
      <c r="M2" s="4">
        <f>(K2-I2)/6</f>
        <v/>
      </c>
      <c r="N2" s="2" t="n"/>
      <c r="O2" s="2" t="n"/>
      <c r="P2" s="2" t="n"/>
      <c r="Q2" s="2" t="n"/>
      <c r="R2" s="2" t="n"/>
      <c r="S2" s="4">
        <f>SUM(S4,S5,S7,S8)</f>
        <v/>
      </c>
    </row>
    <row r="3">
      <c r="A3" s="5" t="inlineStr">
        <is>
          <t>1.1</t>
        </is>
      </c>
      <c r="B3" s="5" t="n"/>
      <c r="C3" s="5" t="inlineStr">
        <is>
          <t>Requirements</t>
        </is>
      </c>
      <c r="D3" s="5" t="n"/>
      <c r="E3" s="6">
        <f>SUM(E4:E5)</f>
        <v/>
      </c>
      <c r="F3" s="6">
        <f>SUM(F4:F5)</f>
        <v/>
      </c>
      <c r="G3" s="6">
        <f>SUM(G4:G5)</f>
        <v/>
      </c>
      <c r="H3" s="7">
        <f>(E3+4*F3+G3)/6</f>
        <v/>
      </c>
      <c r="I3" s="6">
        <f>SUM(I4:I5)</f>
        <v/>
      </c>
      <c r="J3" s="6">
        <f>SUM(J4:J5)</f>
        <v/>
      </c>
      <c r="K3" s="6">
        <f>SUM(K4:K5)</f>
        <v/>
      </c>
      <c r="L3" s="7">
        <f>(I3+4*J3+K3)/6</f>
        <v/>
      </c>
      <c r="M3" s="7">
        <f>(K3-I3)/6</f>
        <v/>
      </c>
      <c r="N3" s="5" t="n"/>
      <c r="O3" s="5" t="n"/>
      <c r="P3" s="5" t="n"/>
      <c r="Q3" s="5" t="n"/>
      <c r="R3" s="5" t="n"/>
      <c r="S3" s="7">
        <f>SUM(S4:S5)</f>
        <v/>
      </c>
    </row>
    <row r="4">
      <c r="A4" s="8" t="inlineStr">
        <is>
          <t>1.1.1</t>
        </is>
      </c>
      <c r="B4" s="8" t="n"/>
      <c r="C4" s="8" t="n"/>
      <c r="D4" s="8" t="inlineStr">
        <is>
          <t>Stakeholder interviews</t>
        </is>
      </c>
      <c r="E4" s="9" t="n">
        <v>3</v>
      </c>
      <c r="F4" s="9" t="n">
        <v>5</v>
      </c>
      <c r="G4" s="9" t="n">
        <v>8</v>
      </c>
      <c r="H4" s="10">
        <f>(E4+4*F4+G4)/6</f>
        <v/>
      </c>
      <c r="I4" s="9" t="n">
        <v>3</v>
      </c>
      <c r="J4" s="9" t="n">
        <v>5</v>
      </c>
      <c r="K4" s="9" t="n">
        <v>8</v>
      </c>
      <c r="L4" s="10">
        <f>(I4+4*J4+K4)/6</f>
        <v/>
      </c>
      <c r="M4" s="10">
        <f>(K4-I4)/6</f>
        <v/>
      </c>
      <c r="N4" s="8" t="inlineStr">
        <is>
          <t>PM, SD</t>
        </is>
      </c>
      <c r="O4" s="8" t="inlineStr"/>
      <c r="P4" s="8" t="inlineStr">
        <is>
          <t>R1</t>
        </is>
      </c>
      <c r="Q4" s="8" t="inlineStr">
        <is>
          <t>Key stakeholder availability required</t>
        </is>
      </c>
      <c r="R4" s="8" t="inlineStr">
        <is>
          <t>Y</t>
        </is>
      </c>
      <c r="S4" s="10">
        <f>IF(R4="Y",H4,0)</f>
        <v/>
      </c>
    </row>
    <row r="5">
      <c r="A5" s="8" t="inlineStr">
        <is>
          <t>1.1.2</t>
        </is>
      </c>
      <c r="B5" s="8" t="n"/>
      <c r="C5" s="8" t="n"/>
      <c r="D5" s="8" t="inlineStr">
        <is>
          <t>Requirements documentation</t>
        </is>
      </c>
      <c r="E5" s="9" t="n">
        <v>2</v>
      </c>
      <c r="F5" s="9" t="n">
        <v>3</v>
      </c>
      <c r="G5" s="9" t="n">
        <v>5</v>
      </c>
      <c r="H5" s="10">
        <f>(E5+4*F5+G5)/6</f>
        <v/>
      </c>
      <c r="I5" s="9" t="n">
        <v>2</v>
      </c>
      <c r="J5" s="9" t="n">
        <v>3</v>
      </c>
      <c r="K5" s="9" t="n">
        <v>5</v>
      </c>
      <c r="L5" s="10">
        <f>(I5+4*J5+K5)/6</f>
        <v/>
      </c>
      <c r="M5" s="10">
        <f>(K5-I5)/6</f>
        <v/>
      </c>
      <c r="N5" s="8" t="inlineStr">
        <is>
          <t>SD</t>
        </is>
      </c>
      <c r="O5" s="8" t="inlineStr">
        <is>
          <t>1.1.1</t>
        </is>
      </c>
      <c r="P5" s="8" t="inlineStr"/>
      <c r="Q5" s="8" t="inlineStr"/>
      <c r="R5" s="8" t="inlineStr">
        <is>
          <t>Y</t>
        </is>
      </c>
      <c r="S5" s="10">
        <f>IF(R5="Y",H5,0)</f>
        <v/>
      </c>
    </row>
    <row r="6">
      <c r="A6" s="5" t="inlineStr">
        <is>
          <t>1.2</t>
        </is>
      </c>
      <c r="B6" s="5" t="n"/>
      <c r="C6" s="5" t="inlineStr">
        <is>
          <t>Technical Assessment</t>
        </is>
      </c>
      <c r="D6" s="5" t="n"/>
      <c r="E6" s="6">
        <f>SUM(E7:E8)</f>
        <v/>
      </c>
      <c r="F6" s="6">
        <f>SUM(F7:F8)</f>
        <v/>
      </c>
      <c r="G6" s="6">
        <f>SUM(G7:G8)</f>
        <v/>
      </c>
      <c r="H6" s="7">
        <f>(E6+4*F6+G6)/6</f>
        <v/>
      </c>
      <c r="I6" s="6">
        <f>SUM(I7:I8)</f>
        <v/>
      </c>
      <c r="J6" s="6">
        <f>SUM(J7:J8)</f>
        <v/>
      </c>
      <c r="K6" s="6">
        <f>SUM(K7:K8)</f>
        <v/>
      </c>
      <c r="L6" s="7">
        <f>(I6+4*J6+K6)/6</f>
        <v/>
      </c>
      <c r="M6" s="7">
        <f>(K6-I6)/6</f>
        <v/>
      </c>
      <c r="N6" s="5" t="n"/>
      <c r="O6" s="5" t="n"/>
      <c r="P6" s="5" t="n"/>
      <c r="Q6" s="5" t="n"/>
      <c r="R6" s="5" t="n"/>
      <c r="S6" s="7">
        <f>SUM(S7:S8)</f>
        <v/>
      </c>
    </row>
    <row r="7">
      <c r="A7" s="8" t="inlineStr">
        <is>
          <t>1.2.1</t>
        </is>
      </c>
      <c r="B7" s="8" t="n"/>
      <c r="C7" s="8" t="n"/>
      <c r="D7" s="8" t="inlineStr">
        <is>
          <t>Architecture review</t>
        </is>
      </c>
      <c r="E7" s="9" t="n">
        <v>2</v>
      </c>
      <c r="F7" s="9" t="n">
        <v>3</v>
      </c>
      <c r="G7" s="9" t="n">
        <v>5</v>
      </c>
      <c r="H7" s="10">
        <f>(E7+4*F7+G7)/6</f>
        <v/>
      </c>
      <c r="I7" s="9" t="n">
        <v>2</v>
      </c>
      <c r="J7" s="9" t="n">
        <v>3</v>
      </c>
      <c r="K7" s="9" t="n">
        <v>4</v>
      </c>
      <c r="L7" s="10">
        <f>(I7+4*J7+K7)/6</f>
        <v/>
      </c>
      <c r="M7" s="10">
        <f>(K7-I7)/6</f>
        <v/>
      </c>
      <c r="N7" s="8" t="inlineStr">
        <is>
          <t>SD</t>
        </is>
      </c>
      <c r="O7" s="8" t="inlineStr">
        <is>
          <t>1.1.1</t>
        </is>
      </c>
      <c r="P7" s="8" t="inlineStr">
        <is>
          <t>R2</t>
        </is>
      </c>
      <c r="Q7" s="8" t="inlineStr"/>
      <c r="R7" s="8" t="inlineStr">
        <is>
          <t>Y</t>
        </is>
      </c>
      <c r="S7" s="10">
        <f>IF(R7="Y",H7,0)</f>
        <v/>
      </c>
    </row>
    <row r="8">
      <c r="A8" s="8" t="inlineStr">
        <is>
          <t>1.2.2</t>
        </is>
      </c>
      <c r="B8" s="8" t="n"/>
      <c r="C8" s="8" t="n"/>
      <c r="D8" s="8" t="inlineStr">
        <is>
          <t>Risk assessment</t>
        </is>
      </c>
      <c r="E8" s="9" t="n">
        <v>1</v>
      </c>
      <c r="F8" s="9" t="n">
        <v>2</v>
      </c>
      <c r="G8" s="9" t="n">
        <v>3</v>
      </c>
      <c r="H8" s="10">
        <f>(E8+4*F8+G8)/6</f>
        <v/>
      </c>
      <c r="I8" s="9" t="n">
        <v>1</v>
      </c>
      <c r="J8" s="9" t="n">
        <v>2</v>
      </c>
      <c r="K8" s="9" t="n">
        <v>3</v>
      </c>
      <c r="L8" s="10">
        <f>(I8+4*J8+K8)/6</f>
        <v/>
      </c>
      <c r="M8" s="10">
        <f>(K8-I8)/6</f>
        <v/>
      </c>
      <c r="N8" s="8" t="inlineStr">
        <is>
          <t>PM</t>
        </is>
      </c>
      <c r="O8" s="8" t="inlineStr">
        <is>
          <t>1.2.1</t>
        </is>
      </c>
      <c r="P8" s="8" t="inlineStr"/>
      <c r="Q8" s="8" t="inlineStr"/>
      <c r="R8" s="8" t="inlineStr">
        <is>
          <t>Y</t>
        </is>
      </c>
      <c r="S8" s="10">
        <f>IF(R8="Y",H8,0)</f>
        <v/>
      </c>
    </row>
    <row r="9">
      <c r="A9" s="2" t="inlineStr">
        <is>
          <t>2</t>
        </is>
      </c>
      <c r="B9" s="2" t="inlineStr">
        <is>
          <t>Design &amp; Development</t>
        </is>
      </c>
      <c r="C9" s="2" t="n"/>
      <c r="D9" s="2" t="n"/>
      <c r="E9" s="3">
        <f>SUM(E11,E12,E14,E15)</f>
        <v/>
      </c>
      <c r="F9" s="3">
        <f>SUM(F11,F12,F14,F15)</f>
        <v/>
      </c>
      <c r="G9" s="3">
        <f>SUM(G11,G12,G14,G15)</f>
        <v/>
      </c>
      <c r="H9" s="4">
        <f>(E9+4*F9+G9)/6</f>
        <v/>
      </c>
      <c r="I9" s="3">
        <f>SUM(I11,I12,I14,I15)</f>
        <v/>
      </c>
      <c r="J9" s="3">
        <f>SUM(J11,J12,J14,J15)</f>
        <v/>
      </c>
      <c r="K9" s="3">
        <f>SUM(K11,K12,K14,K15)</f>
        <v/>
      </c>
      <c r="L9" s="4">
        <f>(I9+4*J9+K9)/6</f>
        <v/>
      </c>
      <c r="M9" s="4">
        <f>(K9-I9)/6</f>
        <v/>
      </c>
      <c r="N9" s="2" t="n"/>
      <c r="O9" s="2" t="n"/>
      <c r="P9" s="2" t="n"/>
      <c r="Q9" s="2" t="n"/>
      <c r="R9" s="2" t="n"/>
      <c r="S9" s="4">
        <f>SUM(S11,S12,S14,S15)</f>
        <v/>
      </c>
    </row>
    <row r="10">
      <c r="A10" s="5" t="inlineStr">
        <is>
          <t>2.1</t>
        </is>
      </c>
      <c r="B10" s="5" t="n"/>
      <c r="C10" s="5" t="inlineStr">
        <is>
          <t>Design</t>
        </is>
      </c>
      <c r="D10" s="5" t="n"/>
      <c r="E10" s="6">
        <f>SUM(E11:E12)</f>
        <v/>
      </c>
      <c r="F10" s="6">
        <f>SUM(F11:F12)</f>
        <v/>
      </c>
      <c r="G10" s="6">
        <f>SUM(G11:G12)</f>
        <v/>
      </c>
      <c r="H10" s="7">
        <f>(E10+4*F10+G10)/6</f>
        <v/>
      </c>
      <c r="I10" s="6">
        <f>SUM(I11:I12)</f>
        <v/>
      </c>
      <c r="J10" s="6">
        <f>SUM(J11:J12)</f>
        <v/>
      </c>
      <c r="K10" s="6">
        <f>SUM(K11:K12)</f>
        <v/>
      </c>
      <c r="L10" s="7">
        <f>(I10+4*J10+K10)/6</f>
        <v/>
      </c>
      <c r="M10" s="7">
        <f>(K10-I10)/6</f>
        <v/>
      </c>
      <c r="N10" s="5" t="n"/>
      <c r="O10" s="5" t="n"/>
      <c r="P10" s="5" t="n"/>
      <c r="Q10" s="5" t="n"/>
      <c r="R10" s="5" t="n"/>
      <c r="S10" s="7">
        <f>SUM(S11:S12)</f>
        <v/>
      </c>
    </row>
    <row r="11">
      <c r="A11" s="8" t="inlineStr">
        <is>
          <t>2.1.1</t>
        </is>
      </c>
      <c r="B11" s="8" t="n"/>
      <c r="C11" s="8" t="n"/>
      <c r="D11" s="8" t="inlineStr">
        <is>
          <t>System design</t>
        </is>
      </c>
      <c r="E11" s="9" t="n">
        <v>3</v>
      </c>
      <c r="F11" s="9" t="n">
        <v>5</v>
      </c>
      <c r="G11" s="9" t="n">
        <v>8</v>
      </c>
      <c r="H11" s="10">
        <f>(E11+4*F11+G11)/6</f>
        <v/>
      </c>
      <c r="I11" s="9" t="n">
        <v>3</v>
      </c>
      <c r="J11" s="9" t="n">
        <v>5</v>
      </c>
      <c r="K11" s="9" t="n">
        <v>8</v>
      </c>
      <c r="L11" s="10">
        <f>(I11+4*J11+K11)/6</f>
        <v/>
      </c>
      <c r="M11" s="10">
        <f>(K11-I11)/6</f>
        <v/>
      </c>
      <c r="N11" s="8" t="inlineStr">
        <is>
          <t>SD</t>
        </is>
      </c>
      <c r="O11" s="8" t="inlineStr">
        <is>
          <t>1.1.2, 1.2.1</t>
        </is>
      </c>
      <c r="P11" s="8" t="inlineStr">
        <is>
          <t>R2</t>
        </is>
      </c>
      <c r="Q11" s="8" t="inlineStr">
        <is>
          <t>Architecture decisions impact all downstream work</t>
        </is>
      </c>
      <c r="R11" s="8" t="inlineStr">
        <is>
          <t>Y</t>
        </is>
      </c>
      <c r="S11" s="10">
        <f>IF(R11="Y",H11,0)</f>
        <v/>
      </c>
    </row>
    <row r="12">
      <c r="A12" s="8" t="inlineStr">
        <is>
          <t>2.1.2</t>
        </is>
      </c>
      <c r="B12" s="8" t="n"/>
      <c r="C12" s="8" t="n"/>
      <c r="D12" s="8" t="inlineStr">
        <is>
          <t>Database schema design</t>
        </is>
      </c>
      <c r="E12" s="9" t="n">
        <v>2</v>
      </c>
      <c r="F12" s="9" t="n">
        <v>3</v>
      </c>
      <c r="G12" s="9" t="n">
        <v>5</v>
      </c>
      <c r="H12" s="10">
        <f>(E12+4*F12+G12)/6</f>
        <v/>
      </c>
      <c r="I12" s="9" t="n">
        <v>2</v>
      </c>
      <c r="J12" s="9" t="n">
        <v>3</v>
      </c>
      <c r="K12" s="9" t="n">
        <v>5</v>
      </c>
      <c r="L12" s="10">
        <f>(I12+4*J12+K12)/6</f>
        <v/>
      </c>
      <c r="M12" s="10">
        <f>(K12-I12)/6</f>
        <v/>
      </c>
      <c r="N12" s="8" t="inlineStr">
        <is>
          <t>SD</t>
        </is>
      </c>
      <c r="O12" s="8" t="inlineStr">
        <is>
          <t>2.1.1</t>
        </is>
      </c>
      <c r="P12" s="8" t="inlineStr"/>
      <c r="Q12" s="8" t="inlineStr"/>
      <c r="R12" s="8" t="inlineStr">
        <is>
          <t>Y</t>
        </is>
      </c>
      <c r="S12" s="10">
        <f>IF(R12="Y",H12,0)</f>
        <v/>
      </c>
    </row>
    <row r="13">
      <c r="A13" s="5" t="inlineStr">
        <is>
          <t>2.2</t>
        </is>
      </c>
      <c r="B13" s="5" t="n"/>
      <c r="C13" s="5" t="inlineStr">
        <is>
          <t>Implementation</t>
        </is>
      </c>
      <c r="D13" s="5" t="n"/>
      <c r="E13" s="6">
        <f>SUM(E14:E15)</f>
        <v/>
      </c>
      <c r="F13" s="6">
        <f>SUM(F14:F15)</f>
        <v/>
      </c>
      <c r="G13" s="6">
        <f>SUM(G14:G15)</f>
        <v/>
      </c>
      <c r="H13" s="7">
        <f>(E13+4*F13+G13)/6</f>
        <v/>
      </c>
      <c r="I13" s="6">
        <f>SUM(I14:I15)</f>
        <v/>
      </c>
      <c r="J13" s="6">
        <f>SUM(J14:J15)</f>
        <v/>
      </c>
      <c r="K13" s="6">
        <f>SUM(K14:K15)</f>
        <v/>
      </c>
      <c r="L13" s="7">
        <f>(I13+4*J13+K13)/6</f>
        <v/>
      </c>
      <c r="M13" s="7">
        <f>(K13-I13)/6</f>
        <v/>
      </c>
      <c r="N13" s="5" t="n"/>
      <c r="O13" s="5" t="n"/>
      <c r="P13" s="5" t="n"/>
      <c r="Q13" s="5" t="n"/>
      <c r="R13" s="5" t="n"/>
      <c r="S13" s="7">
        <f>SUM(S14:S15)</f>
        <v/>
      </c>
    </row>
    <row r="14">
      <c r="A14" s="8" t="inlineStr">
        <is>
          <t>2.2.1</t>
        </is>
      </c>
      <c r="B14" s="8" t="n"/>
      <c r="C14" s="8" t="n"/>
      <c r="D14" s="8" t="inlineStr">
        <is>
          <t>Backend development</t>
        </is>
      </c>
      <c r="E14" s="9" t="n">
        <v>8</v>
      </c>
      <c r="F14" s="9" t="n">
        <v>12</v>
      </c>
      <c r="G14" s="9" t="n">
        <v>18</v>
      </c>
      <c r="H14" s="10">
        <f>(E14+4*F14+G14)/6</f>
        <v/>
      </c>
      <c r="I14" s="9" t="n">
        <v>8</v>
      </c>
      <c r="J14" s="9" t="n">
        <v>12</v>
      </c>
      <c r="K14" s="9" t="n">
        <v>18</v>
      </c>
      <c r="L14" s="10">
        <f>(I14+4*J14+K14)/6</f>
        <v/>
      </c>
      <c r="M14" s="10">
        <f>(K14-I14)/6</f>
        <v/>
      </c>
      <c r="N14" s="8" t="inlineStr">
        <is>
          <t>SD</t>
        </is>
      </c>
      <c r="O14" s="8" t="inlineStr">
        <is>
          <t>2.1.2</t>
        </is>
      </c>
      <c r="P14" s="8" t="inlineStr">
        <is>
          <t>R1, R3</t>
        </is>
      </c>
      <c r="Q14" s="8" t="inlineStr">
        <is>
          <t>Core API and business logic implementation</t>
        </is>
      </c>
      <c r="R14" s="8" t="inlineStr">
        <is>
          <t>Y</t>
        </is>
      </c>
      <c r="S14" s="10">
        <f>IF(R14="Y",H14,0)</f>
        <v/>
      </c>
    </row>
    <row r="15">
      <c r="A15" s="8" t="inlineStr">
        <is>
          <t>2.2.2</t>
        </is>
      </c>
      <c r="B15" s="8" t="n"/>
      <c r="C15" s="8" t="n"/>
      <c r="D15" s="8" t="inlineStr">
        <is>
          <t>Frontend development</t>
        </is>
      </c>
      <c r="E15" s="9" t="n">
        <v>5</v>
      </c>
      <c r="F15" s="9" t="n">
        <v>8</v>
      </c>
      <c r="G15" s="9" t="n">
        <v>12</v>
      </c>
      <c r="H15" s="10">
        <f>(E15+4*F15+G15)/6</f>
        <v/>
      </c>
      <c r="I15" s="9" t="n">
        <v>5</v>
      </c>
      <c r="J15" s="9" t="n">
        <v>8</v>
      </c>
      <c r="K15" s="9" t="n">
        <v>12</v>
      </c>
      <c r="L15" s="10">
        <f>(I15+4*J15+K15)/6</f>
        <v/>
      </c>
      <c r="M15" s="10">
        <f>(K15-I15)/6</f>
        <v/>
      </c>
      <c r="N15" s="8" t="inlineStr">
        <is>
          <t>SD</t>
        </is>
      </c>
      <c r="O15" s="8" t="inlineStr">
        <is>
          <t>2.1.1</t>
        </is>
      </c>
      <c r="P15" s="8" t="inlineStr">
        <is>
          <t>R3</t>
        </is>
      </c>
      <c r="Q15" s="8" t="inlineStr"/>
      <c r="R15" s="8" t="inlineStr">
        <is>
          <t>Y</t>
        </is>
      </c>
      <c r="S15" s="10">
        <f>IF(R15="Y",H15,0)</f>
        <v/>
      </c>
    </row>
    <row r="16">
      <c r="A16" s="2" t="inlineStr">
        <is>
          <t>3</t>
        </is>
      </c>
      <c r="B16" s="2" t="inlineStr">
        <is>
          <t>Testing &amp; Deployment</t>
        </is>
      </c>
      <c r="C16" s="2" t="n"/>
      <c r="D16" s="2" t="n"/>
      <c r="E16" s="3">
        <f>SUM(E18,E19,E21,E22)</f>
        <v/>
      </c>
      <c r="F16" s="3">
        <f>SUM(F18,F19,F21,F22)</f>
        <v/>
      </c>
      <c r="G16" s="3">
        <f>SUM(G18,G19,G21,G22)</f>
        <v/>
      </c>
      <c r="H16" s="4">
        <f>(E16+4*F16+G16)/6</f>
        <v/>
      </c>
      <c r="I16" s="3">
        <f>SUM(I18,I19,I21,I22)</f>
        <v/>
      </c>
      <c r="J16" s="3">
        <f>SUM(J18,J19,J21,J22)</f>
        <v/>
      </c>
      <c r="K16" s="3">
        <f>SUM(K18,K19,K21,K22)</f>
        <v/>
      </c>
      <c r="L16" s="4">
        <f>(I16+4*J16+K16)/6</f>
        <v/>
      </c>
      <c r="M16" s="4">
        <f>(K16-I16)/6</f>
        <v/>
      </c>
      <c r="N16" s="2" t="n"/>
      <c r="O16" s="2" t="n"/>
      <c r="P16" s="2" t="n"/>
      <c r="Q16" s="2" t="n"/>
      <c r="R16" s="2" t="n"/>
      <c r="S16" s="4">
        <f>SUM(S18,S19,S21,S22)</f>
        <v/>
      </c>
    </row>
    <row r="17">
      <c r="A17" s="5" t="inlineStr">
        <is>
          <t>3.1</t>
        </is>
      </c>
      <c r="B17" s="5" t="n"/>
      <c r="C17" s="5" t="inlineStr">
        <is>
          <t>Testing</t>
        </is>
      </c>
      <c r="D17" s="5" t="n"/>
      <c r="E17" s="6">
        <f>SUM(E18:E19)</f>
        <v/>
      </c>
      <c r="F17" s="6">
        <f>SUM(F18:F19)</f>
        <v/>
      </c>
      <c r="G17" s="6">
        <f>SUM(G18:G19)</f>
        <v/>
      </c>
      <c r="H17" s="7">
        <f>(E17+4*F17+G17)/6</f>
        <v/>
      </c>
      <c r="I17" s="6">
        <f>SUM(I18:I19)</f>
        <v/>
      </c>
      <c r="J17" s="6">
        <f>SUM(J18:J19)</f>
        <v/>
      </c>
      <c r="K17" s="6">
        <f>SUM(K18:K19)</f>
        <v/>
      </c>
      <c r="L17" s="7">
        <f>(I17+4*J17+K17)/6</f>
        <v/>
      </c>
      <c r="M17" s="7">
        <f>(K17-I17)/6</f>
        <v/>
      </c>
      <c r="N17" s="5" t="n"/>
      <c r="O17" s="5" t="n"/>
      <c r="P17" s="5" t="n"/>
      <c r="Q17" s="5" t="n"/>
      <c r="R17" s="5" t="n"/>
      <c r="S17" s="7">
        <f>SUM(S18:S19)</f>
        <v/>
      </c>
    </row>
    <row r="18">
      <c r="A18" s="8" t="inlineStr">
        <is>
          <t>3.1.1</t>
        </is>
      </c>
      <c r="B18" s="8" t="n"/>
      <c r="C18" s="8" t="n"/>
      <c r="D18" s="8" t="inlineStr">
        <is>
          <t>Unit testing</t>
        </is>
      </c>
      <c r="E18" s="9" t="n">
        <v>3</v>
      </c>
      <c r="F18" s="9" t="n">
        <v>5</v>
      </c>
      <c r="G18" s="9" t="n">
        <v>8</v>
      </c>
      <c r="H18" s="10">
        <f>(E18+4*F18+G18)/6</f>
        <v/>
      </c>
      <c r="I18" s="9" t="n">
        <v>3</v>
      </c>
      <c r="J18" s="9" t="n">
        <v>5</v>
      </c>
      <c r="K18" s="9" t="n">
        <v>8</v>
      </c>
      <c r="L18" s="10">
        <f>(I18+4*J18+K18)/6</f>
        <v/>
      </c>
      <c r="M18" s="10">
        <f>(K18-I18)/6</f>
        <v/>
      </c>
      <c r="N18" s="8" t="inlineStr">
        <is>
          <t>QA, SD</t>
        </is>
      </c>
      <c r="O18" s="8" t="inlineStr">
        <is>
          <t>2.2.1, 2.2.2</t>
        </is>
      </c>
      <c r="P18" s="8" t="inlineStr"/>
      <c r="Q18" s="8" t="inlineStr"/>
      <c r="R18" s="8" t="inlineStr">
        <is>
          <t>Y</t>
        </is>
      </c>
      <c r="S18" s="10">
        <f>IF(R18="Y",H18,0)</f>
        <v/>
      </c>
    </row>
    <row r="19">
      <c r="A19" s="8" t="inlineStr">
        <is>
          <t>3.1.2</t>
        </is>
      </c>
      <c r="B19" s="8" t="n"/>
      <c r="C19" s="8" t="n"/>
      <c r="D19" s="8" t="inlineStr">
        <is>
          <t>Integration testing</t>
        </is>
      </c>
      <c r="E19" s="9" t="n">
        <v>3</v>
      </c>
      <c r="F19" s="9" t="n">
        <v>4</v>
      </c>
      <c r="G19" s="9" t="n">
        <v>7</v>
      </c>
      <c r="H19" s="10">
        <f>(E19+4*F19+G19)/6</f>
        <v/>
      </c>
      <c r="I19" s="9" t="n">
        <v>3</v>
      </c>
      <c r="J19" s="9" t="n">
        <v>4</v>
      </c>
      <c r="K19" s="9" t="n">
        <v>7</v>
      </c>
      <c r="L19" s="10">
        <f>(I19+4*J19+K19)/6</f>
        <v/>
      </c>
      <c r="M19" s="10">
        <f>(K19-I19)/6</f>
        <v/>
      </c>
      <c r="N19" s="8" t="inlineStr">
        <is>
          <t>QA</t>
        </is>
      </c>
      <c r="O19" s="8" t="inlineStr">
        <is>
          <t>3.1.1</t>
        </is>
      </c>
      <c r="P19" s="8" t="inlineStr">
        <is>
          <t>R4</t>
        </is>
      </c>
      <c r="Q19" s="8" t="inlineStr">
        <is>
          <t>External service dependencies may slow this</t>
        </is>
      </c>
      <c r="R19" s="8" t="inlineStr">
        <is>
          <t>Y</t>
        </is>
      </c>
      <c r="S19" s="10">
        <f>IF(R19="Y",H19,0)</f>
        <v/>
      </c>
    </row>
    <row r="20">
      <c r="A20" s="5" t="inlineStr">
        <is>
          <t>3.2</t>
        </is>
      </c>
      <c r="B20" s="5" t="n"/>
      <c r="C20" s="5" t="inlineStr">
        <is>
          <t>Release</t>
        </is>
      </c>
      <c r="D20" s="5" t="n"/>
      <c r="E20" s="6">
        <f>SUM(E21:E22)</f>
        <v/>
      </c>
      <c r="F20" s="6">
        <f>SUM(F21:F22)</f>
        <v/>
      </c>
      <c r="G20" s="6">
        <f>SUM(G21:G22)</f>
        <v/>
      </c>
      <c r="H20" s="7">
        <f>(E20+4*F20+G20)/6</f>
        <v/>
      </c>
      <c r="I20" s="6">
        <f>SUM(I21:I22)</f>
        <v/>
      </c>
      <c r="J20" s="6">
        <f>SUM(J21:J22)</f>
        <v/>
      </c>
      <c r="K20" s="6">
        <f>SUM(K21:K22)</f>
        <v/>
      </c>
      <c r="L20" s="7">
        <f>(I20+4*J20+K20)/6</f>
        <v/>
      </c>
      <c r="M20" s="7">
        <f>(K20-I20)/6</f>
        <v/>
      </c>
      <c r="N20" s="5" t="n"/>
      <c r="O20" s="5" t="n"/>
      <c r="P20" s="5" t="n"/>
      <c r="Q20" s="5" t="n"/>
      <c r="R20" s="5" t="n"/>
      <c r="S20" s="7">
        <f>SUM(S21:S22)</f>
        <v/>
      </c>
    </row>
    <row r="21">
      <c r="A21" s="8" t="inlineStr">
        <is>
          <t>3.2.1</t>
        </is>
      </c>
      <c r="B21" s="8" t="n"/>
      <c r="C21" s="8" t="n"/>
      <c r="D21" s="8" t="inlineStr">
        <is>
          <t>UAT</t>
        </is>
      </c>
      <c r="E21" s="9" t="n">
        <v>2</v>
      </c>
      <c r="F21" s="9" t="n">
        <v>3</v>
      </c>
      <c r="G21" s="9" t="n">
        <v>6</v>
      </c>
      <c r="H21" s="10">
        <f>(E21+4*F21+G21)/6</f>
        <v/>
      </c>
      <c r="I21" s="9" t="n">
        <v>2</v>
      </c>
      <c r="J21" s="9" t="n">
        <v>3</v>
      </c>
      <c r="K21" s="9" t="n">
        <v>6</v>
      </c>
      <c r="L21" s="10">
        <f>(I21+4*J21+K21)/6</f>
        <v/>
      </c>
      <c r="M21" s="10">
        <f>(K21-I21)/6</f>
        <v/>
      </c>
      <c r="N21" s="8" t="inlineStr">
        <is>
          <t>PM, QA</t>
        </is>
      </c>
      <c r="O21" s="8" t="inlineStr">
        <is>
          <t>3.1.2</t>
        </is>
      </c>
      <c r="P21" s="8" t="inlineStr">
        <is>
          <t>R1, R4</t>
        </is>
      </c>
      <c r="Q21" s="8" t="inlineStr">
        <is>
          <t>Client sign-off required before deployment</t>
        </is>
      </c>
      <c r="R21" s="8" t="inlineStr">
        <is>
          <t>Y</t>
        </is>
      </c>
      <c r="S21" s="10">
        <f>IF(R21="Y",H21,0)</f>
        <v/>
      </c>
    </row>
    <row r="22">
      <c r="A22" s="8" t="inlineStr">
        <is>
          <t>3.2.2</t>
        </is>
      </c>
      <c r="B22" s="8" t="n"/>
      <c r="C22" s="8" t="n"/>
      <c r="D22" s="8" t="inlineStr">
        <is>
          <t>Deployment</t>
        </is>
      </c>
      <c r="E22" s="9" t="n">
        <v>1</v>
      </c>
      <c r="F22" s="9" t="n">
        <v>2</v>
      </c>
      <c r="G22" s="9" t="n">
        <v>4</v>
      </c>
      <c r="H22" s="10">
        <f>(E22+4*F22+G22)/6</f>
        <v/>
      </c>
      <c r="I22" s="9" t="n">
        <v>1</v>
      </c>
      <c r="J22" s="9" t="n">
        <v>2</v>
      </c>
      <c r="K22" s="9" t="n">
        <v>4</v>
      </c>
      <c r="L22" s="10">
        <f>(I22+4*J22+K22)/6</f>
        <v/>
      </c>
      <c r="M22" s="10">
        <f>(K22-I22)/6</f>
        <v/>
      </c>
      <c r="N22" s="8" t="inlineStr">
        <is>
          <t>SD</t>
        </is>
      </c>
      <c r="O22" s="8" t="inlineStr">
        <is>
          <t>3.2.1</t>
        </is>
      </c>
      <c r="P22" s="8" t="inlineStr"/>
      <c r="Q22" s="8" t="inlineStr">
        <is>
          <t>Deployment window must be coordinated with ops team</t>
        </is>
      </c>
      <c r="R22" s="8" t="inlineStr">
        <is>
          <t>Y</t>
        </is>
      </c>
      <c r="S22" s="10">
        <f>IF(R22="Y",H22,0)</f>
        <v/>
      </c>
    </row>
    <row r="23">
      <c r="A23" s="11" t="inlineStr">
        <is>
          <t>TOTAL</t>
        </is>
      </c>
      <c r="B23" s="11" t="n"/>
      <c r="C23" s="11" t="n"/>
      <c r="D23" s="11" t="n"/>
      <c r="E23" s="12">
        <f>SUM(E2,E9,E16)</f>
        <v/>
      </c>
      <c r="F23" s="12">
        <f>SUM(F2,F9,F16)</f>
        <v/>
      </c>
      <c r="G23" s="12">
        <f>SUM(G2,G9,G16)</f>
        <v/>
      </c>
      <c r="H23" s="13">
        <f>SUM(H2,H9,H16)</f>
        <v/>
      </c>
      <c r="I23" s="12">
        <f>SUM(I2,I9,I16)</f>
        <v/>
      </c>
      <c r="J23" s="12">
        <f>SUM(J2,J9,J16)</f>
        <v/>
      </c>
      <c r="K23" s="12">
        <f>SUM(K2,K9,K16)</f>
        <v/>
      </c>
      <c r="L23" s="13">
        <f>SUM(L2,L9,L16)</f>
        <v/>
      </c>
      <c r="M23" s="13">
        <f>SUM(M2,M9,M16)</f>
        <v/>
      </c>
      <c r="N23" s="11" t="n"/>
      <c r="O23" s="11" t="n"/>
      <c r="P23" s="11" t="n"/>
      <c r="Q23" s="11" t="n"/>
      <c r="R23" s="11" t="n"/>
      <c r="S23" s="13">
        <f>SUM(S2,S9,S16)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s="1" t="inlineStr">
        <is>
          <t>Role</t>
        </is>
      </c>
      <c r="B1" s="1" t="inlineStr">
        <is>
          <t>Code</t>
        </is>
      </c>
      <c r="C1" s="1" t="inlineStr">
        <is>
          <t>Type</t>
        </is>
      </c>
      <c r="D1" s="14" t="inlineStr">
        <is>
          <t>W1</t>
        </is>
      </c>
      <c r="E1" s="14" t="inlineStr">
        <is>
          <t>W2</t>
        </is>
      </c>
      <c r="F1" s="14" t="inlineStr">
        <is>
          <t>W3</t>
        </is>
      </c>
      <c r="G1" s="14" t="inlineStr">
        <is>
          <t>W4</t>
        </is>
      </c>
      <c r="H1" s="14" t="inlineStr">
        <is>
          <t>W5</t>
        </is>
      </c>
      <c r="I1" s="14" t="inlineStr">
        <is>
          <t>W6</t>
        </is>
      </c>
      <c r="J1" s="14" t="inlineStr">
        <is>
          <t>W7</t>
        </is>
      </c>
      <c r="K1" s="14" t="inlineStr">
        <is>
          <t>W8</t>
        </is>
      </c>
      <c r="L1" s="14" t="inlineStr">
        <is>
          <t>W9</t>
        </is>
      </c>
      <c r="M1" s="14" t="inlineStr">
        <is>
          <t>W10</t>
        </is>
      </c>
      <c r="N1" s="14" t="inlineStr">
        <is>
          <t>W11</t>
        </is>
      </c>
      <c r="O1" s="14" t="inlineStr">
        <is>
          <t>W12</t>
        </is>
      </c>
      <c r="P1" s="1" t="inlineStr">
        <is>
          <t>TOTAL (PD)</t>
        </is>
      </c>
    </row>
    <row r="2">
      <c r="C2" s="15" t="inlineStr">
        <is>
          <t>Week of</t>
        </is>
      </c>
      <c r="D2" s="15" t="inlineStr">
        <is>
          <t>2026-04-06</t>
        </is>
      </c>
      <c r="E2" s="15" t="inlineStr">
        <is>
          <t>2026-04-13</t>
        </is>
      </c>
      <c r="F2" s="15" t="inlineStr">
        <is>
          <t>2026-04-20</t>
        </is>
      </c>
      <c r="G2" s="15" t="inlineStr">
        <is>
          <t>2026-04-27</t>
        </is>
      </c>
      <c r="H2" s="15" t="inlineStr">
        <is>
          <t>2026-05-04</t>
        </is>
      </c>
      <c r="I2" s="15" t="inlineStr">
        <is>
          <t>2026-05-11</t>
        </is>
      </c>
      <c r="J2" s="15" t="inlineStr">
        <is>
          <t>2026-05-18</t>
        </is>
      </c>
      <c r="K2" s="15" t="inlineStr">
        <is>
          <t>2026-05-25</t>
        </is>
      </c>
      <c r="L2" s="15" t="inlineStr">
        <is>
          <t>2026-06-01</t>
        </is>
      </c>
      <c r="M2" s="15" t="inlineStr">
        <is>
          <t>2026-06-08</t>
        </is>
      </c>
      <c r="N2" s="15" t="inlineStr">
        <is>
          <t>2026-06-15</t>
        </is>
      </c>
      <c r="O2" s="15" t="inlineStr">
        <is>
          <t>2026-06-22</t>
        </is>
      </c>
    </row>
    <row r="3">
      <c r="A3" t="inlineStr">
        <is>
          <t>Project Manager</t>
        </is>
      </c>
      <c r="B3" t="inlineStr">
        <is>
          <t>PM</t>
        </is>
      </c>
      <c r="C3" t="inlineStr">
        <is>
          <t>billable</t>
        </is>
      </c>
      <c r="D3" s="16" t="n">
        <v>3.58</v>
      </c>
      <c r="E3" s="16" t="n">
        <v>3.58</v>
      </c>
      <c r="F3" s="16" t="n">
        <v>0</v>
      </c>
      <c r="G3" s="16" t="n">
        <v>0</v>
      </c>
      <c r="H3" s="16" t="n">
        <v>0</v>
      </c>
      <c r="I3" s="16" t="n">
        <v>0</v>
      </c>
      <c r="J3" s="16" t="n">
        <v>0</v>
      </c>
      <c r="K3" s="16" t="n">
        <v>0</v>
      </c>
      <c r="L3" s="16" t="n">
        <v>0.83</v>
      </c>
      <c r="M3" s="16" t="n">
        <v>0.83</v>
      </c>
      <c r="N3" s="16" t="n">
        <v>0.83</v>
      </c>
      <c r="O3" s="16" t="n">
        <v>0.83</v>
      </c>
      <c r="P3" s="17">
        <f>SUM(D3:O3)</f>
        <v/>
      </c>
    </row>
    <row r="4">
      <c r="A4" t="inlineStr">
        <is>
          <t>QA Engineer</t>
        </is>
      </c>
      <c r="B4" t="inlineStr">
        <is>
          <t>QA</t>
        </is>
      </c>
      <c r="C4" t="inlineStr">
        <is>
          <t>billable</t>
        </is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2.38</v>
      </c>
      <c r="M4" s="16" t="n">
        <v>2.38</v>
      </c>
      <c r="N4" s="16" t="n">
        <v>2.38</v>
      </c>
      <c r="O4" s="16" t="n">
        <v>2.38</v>
      </c>
      <c r="P4" s="17">
        <f>SUM(D4:O4)</f>
        <v/>
      </c>
    </row>
    <row r="5">
      <c r="A5" t="inlineStr">
        <is>
          <t>Senior Developer</t>
        </is>
      </c>
      <c r="B5" t="inlineStr">
        <is>
          <t>SD</t>
        </is>
      </c>
      <c r="C5" t="inlineStr">
        <is>
          <t>billable</t>
        </is>
      </c>
      <c r="D5" s="16" t="n">
        <v>3.17</v>
      </c>
      <c r="E5" s="16" t="n">
        <v>3.17</v>
      </c>
      <c r="F5" s="16" t="n">
        <v>4.12</v>
      </c>
      <c r="G5" s="16" t="n">
        <v>4.12</v>
      </c>
      <c r="H5" s="16" t="n">
        <v>4.12</v>
      </c>
      <c r="I5" s="16" t="n">
        <v>4.12</v>
      </c>
      <c r="J5" s="16" t="n">
        <v>4.12</v>
      </c>
      <c r="K5" s="16" t="n">
        <v>4.12</v>
      </c>
      <c r="L5" s="18" t="n">
        <v>4.66</v>
      </c>
      <c r="M5" s="16" t="n">
        <v>0.54</v>
      </c>
      <c r="N5" s="16" t="n">
        <v>0.54</v>
      </c>
      <c r="O5" s="16" t="n">
        <v>0.54</v>
      </c>
      <c r="P5" s="17">
        <f>SUM(D5:O5)</f>
        <v/>
      </c>
    </row>
    <row r="6">
      <c r="A6" s="11" t="inlineStr">
        <is>
          <t>Weekly TOTAL</t>
        </is>
      </c>
      <c r="D6" s="12">
        <f>SUM(D3:D5)</f>
        <v/>
      </c>
      <c r="E6" s="12">
        <f>SUM(E3:E5)</f>
        <v/>
      </c>
      <c r="F6" s="12">
        <f>SUM(F3:F5)</f>
        <v/>
      </c>
      <c r="G6" s="12">
        <f>SUM(G3:G5)</f>
        <v/>
      </c>
      <c r="H6" s="12">
        <f>SUM(H3:H5)</f>
        <v/>
      </c>
      <c r="I6" s="12">
        <f>SUM(I3:I5)</f>
        <v/>
      </c>
      <c r="J6" s="12">
        <f>SUM(J3:J5)</f>
        <v/>
      </c>
      <c r="K6" s="12">
        <f>SUM(K3:K5)</f>
        <v/>
      </c>
      <c r="L6" s="12">
        <f>SUM(L3:L5)</f>
        <v/>
      </c>
      <c r="M6" s="12">
        <f>SUM(M3:M5)</f>
        <v/>
      </c>
      <c r="N6" s="12">
        <f>SUM(N3:N5)</f>
        <v/>
      </c>
      <c r="O6" s="12">
        <f>SUM(O3:O5)</f>
        <v/>
      </c>
      <c r="P6" s="12">
        <f>SUM(D6:O6)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5" customWidth="1" min="10" max="10"/>
    <col width="10" customWidth="1" min="11" max="11"/>
    <col width="16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Affected Phases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Priority</t>
        </is>
      </c>
      <c r="I1" s="1" t="inlineStr">
        <is>
          <t>Strategy</t>
        </is>
      </c>
      <c r="J1" s="1" t="inlineStr">
        <is>
          <t>Mitigation Action</t>
        </is>
      </c>
      <c r="K1" s="1" t="inlineStr">
        <is>
          <t>Owner</t>
        </is>
      </c>
      <c r="L1" s="1" t="inlineStr">
        <is>
          <t>Contingency (pd)</t>
        </is>
      </c>
      <c r="M1" s="1" t="inlineStr">
        <is>
          <t>Contingency Cost</t>
        </is>
      </c>
    </row>
    <row r="2">
      <c r="A2" t="inlineStr">
        <is>
          <t>R1</t>
        </is>
      </c>
      <c r="B2" t="inlineStr">
        <is>
          <t>Key resource unavailable due to illness or turnover</t>
        </is>
      </c>
      <c r="C2" t="inlineStr">
        <is>
          <t>Organizational</t>
        </is>
      </c>
      <c r="D2" t="inlineStr">
        <is>
          <t>1, 2, 3</t>
        </is>
      </c>
      <c r="E2" t="n">
        <v>3</v>
      </c>
      <c r="F2" t="n">
        <v>4</v>
      </c>
      <c r="G2">
        <f>E2*F2</f>
        <v/>
      </c>
      <c r="H2">
        <f>IF(G2&gt;=15,"CRITICAL",IF(G2&gt;=10,"HIGH",IF(G2&gt;=5,"MEDIUM","LOW")))</f>
        <v/>
      </c>
      <c r="I2" t="inlineStr">
        <is>
          <t>Mitigate</t>
        </is>
      </c>
      <c r="J2" t="inlineStr">
        <is>
          <t>Cross-train team members and maintain knowledge base</t>
        </is>
      </c>
      <c r="K2" t="inlineStr">
        <is>
          <t>PM</t>
        </is>
      </c>
      <c r="L2" t="n">
        <v>5</v>
      </c>
      <c r="M2">
        <f>L2*500</f>
        <v/>
      </c>
    </row>
    <row r="3">
      <c r="A3" t="inlineStr">
        <is>
          <t>R2</t>
        </is>
      </c>
      <c r="B3" t="inlineStr">
        <is>
          <t>Requirements change mid-project due to regulatory updates</t>
        </is>
      </c>
      <c r="C3" t="inlineStr">
        <is>
          <t>External</t>
        </is>
      </c>
      <c r="D3" t="inlineStr">
        <is>
          <t>1, 2</t>
        </is>
      </c>
      <c r="E3" t="n">
        <v>4</v>
      </c>
      <c r="F3" t="n">
        <v>3</v>
      </c>
      <c r="G3">
        <f>E3*F3</f>
        <v/>
      </c>
      <c r="H3">
        <f>IF(G3&gt;=15,"CRITICAL",IF(G3&gt;=10,"HIGH",IF(G3&gt;=5,"MEDIUM","LOW")))</f>
        <v/>
      </c>
      <c r="I3" t="inlineStr">
        <is>
          <t>Accept</t>
        </is>
      </c>
      <c r="J3" t="inlineStr">
        <is>
          <t>Budget for change requests and maintain flexible architecture</t>
        </is>
      </c>
      <c r="K3" t="inlineStr">
        <is>
          <t>PM</t>
        </is>
      </c>
      <c r="L3" t="n">
        <v>8</v>
      </c>
      <c r="M3">
        <f>L3*500</f>
        <v/>
      </c>
    </row>
    <row r="4">
      <c r="A4" t="inlineStr">
        <is>
          <t>R3</t>
        </is>
      </c>
      <c r="B4" t="inlineStr">
        <is>
          <t>Third-party API integration complexity underestimated</t>
        </is>
      </c>
      <c r="C4" t="inlineStr">
        <is>
          <t>Technical</t>
        </is>
      </c>
      <c r="D4" t="inlineStr">
        <is>
          <t>2</t>
        </is>
      </c>
      <c r="E4" t="n">
        <v>3</v>
      </c>
      <c r="F4" t="n">
        <v>3</v>
      </c>
      <c r="G4">
        <f>E4*F4</f>
        <v/>
      </c>
      <c r="H4">
        <f>IF(G4&gt;=15,"CRITICAL",IF(G4&gt;=10,"HIGH",IF(G4&gt;=5,"MEDIUM","LOW")))</f>
        <v/>
      </c>
      <c r="I4" t="inlineStr">
        <is>
          <t>Mitigate</t>
        </is>
      </c>
      <c r="J4" t="inlineStr">
        <is>
          <t>Prototype integration early and allocate spike time</t>
        </is>
      </c>
      <c r="K4" t="inlineStr">
        <is>
          <t>SD</t>
        </is>
      </c>
      <c r="L4" t="n">
        <v>4</v>
      </c>
      <c r="M4">
        <f>L4*500</f>
        <v/>
      </c>
    </row>
    <row r="5">
      <c r="A5" s="19" t="inlineStr">
        <is>
          <t>R4</t>
        </is>
      </c>
      <c r="B5" s="19" t="inlineStr">
        <is>
          <t>UAT delayed due to client availability or environment issues</t>
        </is>
      </c>
      <c r="C5" s="19" t="inlineStr">
        <is>
          <t>External</t>
        </is>
      </c>
      <c r="D5" s="19" t="inlineStr">
        <is>
          <t>3</t>
        </is>
      </c>
      <c r="E5" s="19" t="n">
        <v>4</v>
      </c>
      <c r="F5" s="19" t="n">
        <v>4</v>
      </c>
      <c r="G5" s="19">
        <f>E5*F5</f>
        <v/>
      </c>
      <c r="H5" s="19">
        <f>IF(G5&gt;=15,"CRITICAL",IF(G5&gt;=10,"HIGH",IF(G5&gt;=5,"MEDIUM","LOW")))</f>
        <v/>
      </c>
      <c r="I5" s="19" t="inlineStr">
        <is>
          <t>Mitigate</t>
        </is>
      </c>
      <c r="J5" s="19" t="inlineStr">
        <is>
          <t>Agree on UAT schedule and environment setup checklist upfront</t>
        </is>
      </c>
      <c r="K5" s="19" t="inlineStr">
        <is>
          <t>PM</t>
        </is>
      </c>
      <c r="L5" s="19" t="n">
        <v>6</v>
      </c>
      <c r="M5" s="19">
        <f>L5*500</f>
        <v/>
      </c>
    </row>
    <row r="7">
      <c r="A7" s="11" t="inlineStr">
        <is>
          <t>TOTAL</t>
        </is>
      </c>
      <c r="L7" s="11">
        <f>SUM(L2:L5)</f>
        <v/>
      </c>
      <c r="M7" s="11">
        <f>SUM(M2:M5)</f>
        <v/>
      </c>
    </row>
    <row r="8">
      <c r="A8" t="inlineStr">
        <is>
          <t>Management Reserve</t>
        </is>
      </c>
      <c r="L8">
        <f>(WBS!H23*(1+0.1+0.05)+L7)*0.1</f>
        <v/>
      </c>
      <c r="M8">
        <f>(WBS!H23*(1+0.1+0.05)+L7)*0.1*500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Phase</t>
        </is>
      </c>
      <c r="B1" s="1" t="inlineStr">
        <is>
          <t>Description</t>
        </is>
      </c>
      <c r="C1" s="1" t="inlineStr">
        <is>
          <t>Best Effort (pd)</t>
        </is>
      </c>
      <c r="D1" s="1" t="inlineStr">
        <is>
          <t>Likely Effort (pd)</t>
        </is>
      </c>
      <c r="E1" s="1" t="inlineStr">
        <is>
          <t>Worst Effort (pd)</t>
        </is>
      </c>
      <c r="F1" s="1" t="inlineStr">
        <is>
          <t>PERT Effort (pd)</t>
        </is>
      </c>
      <c r="G1" s="1" t="inlineStr">
        <is>
          <t>Best Duration (d)</t>
        </is>
      </c>
      <c r="H1" s="1" t="inlineStr">
        <is>
          <t>Likely Duration (d)</t>
        </is>
      </c>
      <c r="I1" s="1" t="inlineStr">
        <is>
          <t>Worst Duration (d)</t>
        </is>
      </c>
      <c r="J1" s="1" t="inlineStr">
        <is>
          <t>PERT Duration (d)</t>
        </is>
      </c>
      <c r="K1" s="1" t="inlineStr">
        <is>
          <t>σ Duration</t>
        </is>
      </c>
    </row>
    <row r="2">
      <c r="A2" s="2">
        <f>WBS!B2</f>
        <v/>
      </c>
      <c r="B2" s="2" t="inlineStr">
        <is>
          <t>Requirements analysis and planning</t>
        </is>
      </c>
      <c r="C2" s="4">
        <f>WBS!E2</f>
        <v/>
      </c>
      <c r="D2" s="4">
        <f>WBS!F2</f>
        <v/>
      </c>
      <c r="E2" s="4">
        <f>WBS!G2</f>
        <v/>
      </c>
      <c r="F2" s="4">
        <f>WBS!H2</f>
        <v/>
      </c>
      <c r="G2" s="4">
        <f>WBS!I2</f>
        <v/>
      </c>
      <c r="H2" s="4">
        <f>WBS!J2</f>
        <v/>
      </c>
      <c r="I2" s="4">
        <f>WBS!K2</f>
        <v/>
      </c>
      <c r="J2" s="4">
        <f>WBS!L2</f>
        <v/>
      </c>
      <c r="K2" s="4">
        <f>WBS!M2</f>
        <v/>
      </c>
    </row>
    <row r="3">
      <c r="A3" s="2">
        <f>WBS!B9</f>
        <v/>
      </c>
      <c r="B3" s="2" t="inlineStr">
        <is>
          <t>System design and implementation</t>
        </is>
      </c>
      <c r="C3" s="4">
        <f>WBS!E9</f>
        <v/>
      </c>
      <c r="D3" s="4">
        <f>WBS!F9</f>
        <v/>
      </c>
      <c r="E3" s="4">
        <f>WBS!G9</f>
        <v/>
      </c>
      <c r="F3" s="4">
        <f>WBS!H9</f>
        <v/>
      </c>
      <c r="G3" s="4">
        <f>WBS!I9</f>
        <v/>
      </c>
      <c r="H3" s="4">
        <f>WBS!J9</f>
        <v/>
      </c>
      <c r="I3" s="4">
        <f>WBS!K9</f>
        <v/>
      </c>
      <c r="J3" s="4">
        <f>WBS!L9</f>
        <v/>
      </c>
      <c r="K3" s="4">
        <f>WBS!M9</f>
        <v/>
      </c>
    </row>
    <row r="4">
      <c r="A4" s="2">
        <f>WBS!B16</f>
        <v/>
      </c>
      <c r="B4" s="2" t="inlineStr">
        <is>
          <t>Quality assurance and production rollout</t>
        </is>
      </c>
      <c r="C4" s="4">
        <f>WBS!E16</f>
        <v/>
      </c>
      <c r="D4" s="4">
        <f>WBS!F16</f>
        <v/>
      </c>
      <c r="E4" s="4">
        <f>WBS!G16</f>
        <v/>
      </c>
      <c r="F4" s="4">
        <f>WBS!H16</f>
        <v/>
      </c>
      <c r="G4" s="4">
        <f>WBS!I16</f>
        <v/>
      </c>
      <c r="H4" s="4">
        <f>WBS!J16</f>
        <v/>
      </c>
      <c r="I4" s="4">
        <f>WBS!K16</f>
        <v/>
      </c>
      <c r="J4" s="4">
        <f>WBS!L16</f>
        <v/>
      </c>
      <c r="K4" s="4">
        <f>WBS!M16</f>
        <v/>
      </c>
    </row>
    <row r="5">
      <c r="A5" s="11" t="inlineStr">
        <is>
          <t>TOTAL</t>
        </is>
      </c>
      <c r="B5" s="11" t="n"/>
      <c r="C5" s="13">
        <f>SUM(C2:C4)</f>
        <v/>
      </c>
      <c r="D5" s="13">
        <f>SUM(D2:D4)</f>
        <v/>
      </c>
      <c r="E5" s="13">
        <f>SUM(E2:E4)</f>
        <v/>
      </c>
      <c r="F5" s="13">
        <f>SUM(F2:F4)</f>
        <v/>
      </c>
      <c r="G5" s="13">
        <f>SUM(G2:G4)</f>
        <v/>
      </c>
      <c r="H5" s="13">
        <f>SUM(H2:H4)</f>
        <v/>
      </c>
      <c r="I5" s="13">
        <f>SUM(I2:I4)</f>
        <v/>
      </c>
      <c r="J5" s="13">
        <f>SUM(J2:J4)</f>
        <v/>
      </c>
      <c r="K5" s="13">
        <f>SUM(K2:K4)</f>
        <v/>
      </c>
    </row>
    <row r="7">
      <c r="A7" t="inlineStr">
        <is>
          <t>Tech PERT Effort (PD)</t>
        </is>
      </c>
      <c r="B7">
        <f>F5</f>
        <v/>
      </c>
    </row>
    <row r="8">
      <c r="A8" t="inlineStr">
        <is>
          <t>PM Overhead (+10%) (PD)</t>
        </is>
      </c>
      <c r="B8">
        <f>B7*0.1</f>
        <v/>
      </c>
    </row>
    <row r="9">
      <c r="A9" t="inlineStr">
        <is>
          <t>DevOps Overhead (+5%) (PD)</t>
        </is>
      </c>
      <c r="B9">
        <f>B7*0.05</f>
        <v/>
      </c>
    </row>
    <row r="10">
      <c r="A10" t="inlineStr">
        <is>
          <t>Subtotal Tech + Overhead (PD)</t>
        </is>
      </c>
      <c r="B10">
        <f>B7+B8+B9</f>
        <v/>
      </c>
    </row>
    <row r="11">
      <c r="A11" t="inlineStr">
        <is>
          <t>Contingency per-risk (PD)</t>
        </is>
      </c>
      <c r="B11">
        <f>Risks!L7</f>
        <v/>
      </c>
    </row>
    <row r="12">
      <c r="A12" t="inlineStr">
        <is>
          <t>Low Band</t>
        </is>
      </c>
      <c r="B12">
        <f>B10+B11</f>
        <v/>
      </c>
    </row>
    <row r="13">
      <c r="A13" t="inlineStr">
        <is>
          <t>Management Reserve (10%) (PD)</t>
        </is>
      </c>
      <c r="B13">
        <f>B12*0.1</f>
        <v/>
      </c>
    </row>
    <row r="14">
      <c r="A14" t="inlineStr">
        <is>
          <t>Medium Band (recommended)</t>
        </is>
      </c>
      <c r="B14">
        <f>B12+B13</f>
        <v/>
      </c>
    </row>
    <row r="15">
      <c r="A15" t="inlineStr">
        <is>
          <t>High Band</t>
        </is>
      </c>
      <c r="B15">
        <f>B14*(1+0.12)</f>
        <v/>
      </c>
    </row>
    <row r="16">
      <c r="A16" t="inlineStr">
        <is>
          <t>Total Billable Effort (PD)</t>
        </is>
      </c>
      <c r="B16">
        <f>WBS!S23</f>
        <v/>
      </c>
    </row>
    <row r="17">
      <c r="A17" t="inlineStr">
        <is>
          <t>Billable Ratio</t>
        </is>
      </c>
      <c r="B17">
        <f>B16/B7</f>
        <v/>
      </c>
    </row>
    <row r="19">
      <c r="A19" t="inlineStr">
        <is>
          <t>Calendar Duration (weeks)</t>
        </is>
      </c>
      <c r="B19" s="20" t="n">
        <v>12</v>
      </c>
    </row>
    <row r="21">
      <c r="A21" s="21" t="inlineStr">
        <is>
          <t>Effort by Team (PD)</t>
        </is>
      </c>
    </row>
    <row r="22">
      <c r="A22" t="inlineStr">
        <is>
          <t>Development</t>
        </is>
      </c>
      <c r="B22" s="16" t="n">
        <v>46.83333333333333</v>
      </c>
    </row>
    <row r="23">
      <c r="A23" t="inlineStr">
        <is>
          <t>Management</t>
        </is>
      </c>
      <c r="B23" s="16" t="n">
        <v>10.5</v>
      </c>
    </row>
    <row r="25">
      <c r="A25" s="21" t="inlineStr">
        <is>
          <t>Sensitivity Scenarios</t>
        </is>
      </c>
    </row>
    <row r="26">
      <c r="A26" t="inlineStr">
        <is>
          <t>Optimistic: 75 PD if stakeholder availability is high and no requirement changes occur</t>
        </is>
      </c>
    </row>
    <row r="27">
      <c r="A27" t="inlineStr">
        <is>
          <t>Realistic: 92 PD (Fascia MEDIA) with current overhead and MR assumptions</t>
        </is>
      </c>
    </row>
    <row r="28">
      <c r="A28" t="inlineStr">
        <is>
          <t>Pessimistic: 110 PD if external API integration delays force rework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2026-05-19T16:50:08Z</dcterms:created>
  <dcterms:modified xmlns:dcterms="http://purl.org/dc/terms/" xmlns:xsi="http://www.w3.org/2001/XMLSchema-instance" xsi:type="dcterms:W3CDTF">2026-05-19T16:50:08Z</dcterms:modified>
</cp:coreProperties>
</file>