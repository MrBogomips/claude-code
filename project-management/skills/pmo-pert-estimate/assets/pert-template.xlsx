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Resources" sheetId="3" state="visible" r:id="rId3"/>
    <sheet xmlns:r="http://schemas.openxmlformats.org/officeDocument/2006/relationships" name="Risks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b val="1"/>
      <u val="single"/>
    </font>
    <font>
      <i val="1"/>
      <sz val="9"/>
    </font>
    <font>
      <b val="1"/>
      <color rgb="FFFF0000"/>
    </font>
  </fonts>
  <fills count="9">
    <fill>
      <patternFill/>
    </fill>
    <fill>
      <patternFill patternType="gray125"/>
    </fill>
    <fill>
      <patternFill patternType="solid">
        <fgColor rgb="FF1B4FA5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0000"/>
      </patternFill>
    </fill>
    <fill>
      <patternFill patternType="solid">
        <fgColor rgb="FF4472C4"/>
      </patternFill>
    </fill>
    <fill>
      <patternFill patternType="solid">
        <fgColor rgb="FFFFA500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6" fillId="3" borderId="0" applyAlignment="1" pivotButton="0" quotePrefix="0" xfId="0">
      <alignment horizontal="center"/>
    </xf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4" fillId="0" borderId="0" pivotButton="0" quotePrefix="0" xfId="0"/>
    <xf numFmtId="0" fontId="4" fillId="3" borderId="0" pivotButton="0" quotePrefix="0" xfId="0"/>
    <xf numFmtId="0" fontId="3" fillId="4" borderId="0" pivotButton="0" quotePrefix="0" xfId="0"/>
    <xf numFmtId="0" fontId="3" fillId="3" borderId="0" pivotButton="0" quotePrefix="0" xfId="0"/>
    <xf numFmtId="0" fontId="2" fillId="3" borderId="1" applyAlignment="1" pivotButton="0" quotePrefix="0" xfId="0">
      <alignment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3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(pd)</t>
        </is>
      </c>
      <c r="F1" s="1" t="inlineStr">
        <is>
          <t>Likely Effort (pd)</t>
        </is>
      </c>
      <c r="G1" s="1" t="inlineStr">
        <is>
          <t>Worst Effort (pd)</t>
        </is>
      </c>
      <c r="H1" s="1" t="inlineStr">
        <is>
          <t>PERT Effort (pd)</t>
        </is>
      </c>
      <c r="I1" s="1" t="inlineStr">
        <is>
          <t>Best Duration (d)</t>
        </is>
      </c>
      <c r="J1" s="1" t="inlineStr">
        <is>
          <t>Likely Duration (d)</t>
        </is>
      </c>
      <c r="K1" s="1" t="inlineStr">
        <is>
          <t>Worst Duration (d)</t>
        </is>
      </c>
      <c r="L1" s="1" t="inlineStr">
        <is>
          <t>PERT Duration (d)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Analysis</t>
        </is>
      </c>
      <c r="C2" s="2" t="n"/>
      <c r="D2" s="2" t="n"/>
      <c r="E2" s="3">
        <f>SUM(E4,E5,E7,E8)</f>
        <v/>
      </c>
      <c r="F2" s="3">
        <f>SUM(F4,F5,F7,F8)</f>
        <v/>
      </c>
      <c r="G2" s="3">
        <f>SUM(G4,G5,G7,G8)</f>
        <v/>
      </c>
      <c r="H2" s="4">
        <f>(E2+4*F2+G2)/6</f>
        <v/>
      </c>
      <c r="I2" s="3">
        <f>SUM(I4,I5,I7,I8)</f>
        <v/>
      </c>
      <c r="J2" s="3">
        <f>SUM(J4,J5,J7,J8)</f>
        <v/>
      </c>
      <c r="K2" s="3">
        <f>SUM(K4,K5,K7,K8)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SUM(S4,S5,S7,S8)</f>
        <v/>
      </c>
    </row>
    <row r="3">
      <c r="A3" s="5" t="inlineStr">
        <is>
          <t>1.1</t>
        </is>
      </c>
      <c r="B3" s="5" t="n"/>
      <c r="C3" s="5" t="inlineStr">
        <is>
          <t>Requirements</t>
        </is>
      </c>
      <c r="D3" s="5" t="n"/>
      <c r="E3" s="6">
        <f>SUM(E4:E5)</f>
        <v/>
      </c>
      <c r="F3" s="6">
        <f>SUM(F4:F5)</f>
        <v/>
      </c>
      <c r="G3" s="6">
        <f>SUM(G4:G5)</f>
        <v/>
      </c>
      <c r="H3" s="7">
        <f>(E3+4*F3+G3)/6</f>
        <v/>
      </c>
      <c r="I3" s="6">
        <f>SUM(I4:I5)</f>
        <v/>
      </c>
      <c r="J3" s="6">
        <f>SUM(J4:J5)</f>
        <v/>
      </c>
      <c r="K3" s="6">
        <f>SUM(K4:K5)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SUM(S4:S5)</f>
        <v/>
      </c>
    </row>
    <row r="4">
      <c r="A4" s="8" t="inlineStr">
        <is>
          <t>1.1.1</t>
        </is>
      </c>
      <c r="B4" s="8" t="n"/>
      <c r="C4" s="8" t="n"/>
      <c r="D4" s="8" t="inlineStr">
        <is>
          <t>Stakeholder interviews</t>
        </is>
      </c>
      <c r="E4" s="9" t="n">
        <v>3</v>
      </c>
      <c r="F4" s="9" t="n">
        <v>5</v>
      </c>
      <c r="G4" s="9" t="n">
        <v>8</v>
      </c>
      <c r="H4" s="10">
        <f>(E4+4*F4+G4)/6</f>
        <v/>
      </c>
      <c r="I4" s="9" t="n">
        <v>3</v>
      </c>
      <c r="J4" s="9" t="n">
        <v>5</v>
      </c>
      <c r="K4" s="9" t="n">
        <v>8</v>
      </c>
      <c r="L4" s="10">
        <f>(I4+4*J4+K4)/6</f>
        <v/>
      </c>
      <c r="M4" s="10">
        <f>(K4-I4)/6</f>
        <v/>
      </c>
      <c r="N4" s="8" t="inlineStr">
        <is>
          <t>PM, SD</t>
        </is>
      </c>
      <c r="O4" s="8" t="inlineStr"/>
      <c r="P4" s="8" t="inlineStr">
        <is>
          <t>R1</t>
        </is>
      </c>
      <c r="Q4" s="8" t="inlineStr">
        <is>
          <t>Key stakeholder availability required</t>
        </is>
      </c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Requirements documentation</t>
        </is>
      </c>
      <c r="E5" s="9" t="n">
        <v>2</v>
      </c>
      <c r="F5" s="9" t="n">
        <v>3</v>
      </c>
      <c r="G5" s="9" t="n">
        <v>5</v>
      </c>
      <c r="H5" s="10">
        <f>(E5+4*F5+G5)/6</f>
        <v/>
      </c>
      <c r="I5" s="9" t="n">
        <v>2</v>
      </c>
      <c r="J5" s="9" t="n">
        <v>3</v>
      </c>
      <c r="K5" s="9" t="n">
        <v>5</v>
      </c>
      <c r="L5" s="10">
        <f>(I5+4*J5+K5)/6</f>
        <v/>
      </c>
      <c r="M5" s="10">
        <f>(K5-I5)/6</f>
        <v/>
      </c>
      <c r="N5" s="8" t="inlineStr">
        <is>
          <t>SD</t>
        </is>
      </c>
      <c r="O5" s="8" t="inlineStr">
        <is>
          <t>1.1.1</t>
        </is>
      </c>
      <c r="P5" s="8" t="inlineStr"/>
      <c r="Q5" s="8" t="inlineStr"/>
      <c r="R5" s="8" t="inlineStr">
        <is>
          <t>Y</t>
        </is>
      </c>
      <c r="S5" s="10">
        <f>IF(R5="Y",H5,0)</f>
        <v/>
      </c>
    </row>
    <row r="6">
      <c r="A6" s="5" t="inlineStr">
        <is>
          <t>1.2</t>
        </is>
      </c>
      <c r="B6" s="5" t="n"/>
      <c r="C6" s="5" t="inlineStr">
        <is>
          <t>Technical Assessment</t>
        </is>
      </c>
      <c r="D6" s="5" t="n"/>
      <c r="E6" s="6">
        <f>SUM(E7:E8)</f>
        <v/>
      </c>
      <c r="F6" s="6">
        <f>SUM(F7:F8)</f>
        <v/>
      </c>
      <c r="G6" s="6">
        <f>SUM(G7:G8)</f>
        <v/>
      </c>
      <c r="H6" s="7">
        <f>(E6+4*F6+G6)/6</f>
        <v/>
      </c>
      <c r="I6" s="6">
        <f>SUM(I7:I8)</f>
        <v/>
      </c>
      <c r="J6" s="6">
        <f>SUM(J7:J8)</f>
        <v/>
      </c>
      <c r="K6" s="6">
        <f>SUM(K7:K8)</f>
        <v/>
      </c>
      <c r="L6" s="7">
        <f>(I6+4*J6+K6)/6</f>
        <v/>
      </c>
      <c r="M6" s="7">
        <f>(K6-I6)/6</f>
        <v/>
      </c>
      <c r="N6" s="5" t="n"/>
      <c r="O6" s="5" t="n"/>
      <c r="P6" s="5" t="n"/>
      <c r="Q6" s="5" t="n"/>
      <c r="R6" s="5" t="n"/>
      <c r="S6" s="7">
        <f>SUM(S7:S8)</f>
        <v/>
      </c>
    </row>
    <row r="7">
      <c r="A7" s="8" t="inlineStr">
        <is>
          <t>1.2.1</t>
        </is>
      </c>
      <c r="B7" s="8" t="n"/>
      <c r="C7" s="8" t="n"/>
      <c r="D7" s="8" t="inlineStr">
        <is>
          <t>Architecture review</t>
        </is>
      </c>
      <c r="E7" s="9" t="n">
        <v>2</v>
      </c>
      <c r="F7" s="9" t="n">
        <v>3</v>
      </c>
      <c r="G7" s="9" t="n">
        <v>5</v>
      </c>
      <c r="H7" s="10">
        <f>(E7+4*F7+G7)/6</f>
        <v/>
      </c>
      <c r="I7" s="9" t="n">
        <v>2</v>
      </c>
      <c r="J7" s="9" t="n">
        <v>3</v>
      </c>
      <c r="K7" s="9" t="n">
        <v>4</v>
      </c>
      <c r="L7" s="10">
        <f>(I7+4*J7+K7)/6</f>
        <v/>
      </c>
      <c r="M7" s="10">
        <f>(K7-I7)/6</f>
        <v/>
      </c>
      <c r="N7" s="8" t="inlineStr">
        <is>
          <t>SD</t>
        </is>
      </c>
      <c r="O7" s="8" t="inlineStr">
        <is>
          <t>1.1.1</t>
        </is>
      </c>
      <c r="P7" s="8" t="inlineStr">
        <is>
          <t>R2</t>
        </is>
      </c>
      <c r="Q7" s="8" t="inlineStr"/>
      <c r="R7" s="8" t="inlineStr">
        <is>
          <t>Y</t>
        </is>
      </c>
      <c r="S7" s="10">
        <f>IF(R7="Y",H7,0)</f>
        <v/>
      </c>
    </row>
    <row r="8">
      <c r="A8" s="8" t="inlineStr">
        <is>
          <t>1.2.2</t>
        </is>
      </c>
      <c r="B8" s="8" t="n"/>
      <c r="C8" s="8" t="n"/>
      <c r="D8" s="8" t="inlineStr">
        <is>
          <t>Risk assessment</t>
        </is>
      </c>
      <c r="E8" s="9" t="n">
        <v>1</v>
      </c>
      <c r="F8" s="9" t="n">
        <v>2</v>
      </c>
      <c r="G8" s="9" t="n">
        <v>3</v>
      </c>
      <c r="H8" s="10">
        <f>(E8+4*F8+G8)/6</f>
        <v/>
      </c>
      <c r="I8" s="9" t="n">
        <v>1</v>
      </c>
      <c r="J8" s="9" t="n">
        <v>2</v>
      </c>
      <c r="K8" s="9" t="n">
        <v>3</v>
      </c>
      <c r="L8" s="10">
        <f>(I8+4*J8+K8)/6</f>
        <v/>
      </c>
      <c r="M8" s="10">
        <f>(K8-I8)/6</f>
        <v/>
      </c>
      <c r="N8" s="8" t="inlineStr">
        <is>
          <t>PM</t>
        </is>
      </c>
      <c r="O8" s="8" t="inlineStr">
        <is>
          <t>1.2.1</t>
        </is>
      </c>
      <c r="P8" s="8" t="inlineStr"/>
      <c r="Q8" s="8" t="inlineStr"/>
      <c r="R8" s="8" t="inlineStr">
        <is>
          <t>Y</t>
        </is>
      </c>
      <c r="S8" s="10">
        <f>IF(R8="Y",H8,0)</f>
        <v/>
      </c>
    </row>
    <row r="9">
      <c r="A9" s="2" t="inlineStr">
        <is>
          <t>2</t>
        </is>
      </c>
      <c r="B9" s="2" t="inlineStr">
        <is>
          <t>Design &amp; Development</t>
        </is>
      </c>
      <c r="C9" s="2" t="n"/>
      <c r="D9" s="2" t="n"/>
      <c r="E9" s="3">
        <f>SUM(E11,E12,E14,E15)</f>
        <v/>
      </c>
      <c r="F9" s="3">
        <f>SUM(F11,F12,F14,F15)</f>
        <v/>
      </c>
      <c r="G9" s="3">
        <f>SUM(G11,G12,G14,G15)</f>
        <v/>
      </c>
      <c r="H9" s="4">
        <f>(E9+4*F9+G9)/6</f>
        <v/>
      </c>
      <c r="I9" s="3">
        <f>SUM(I11,I12,I14,I15)</f>
        <v/>
      </c>
      <c r="J9" s="3">
        <f>SUM(J11,J12,J14,J15)</f>
        <v/>
      </c>
      <c r="K9" s="3">
        <f>SUM(K11,K12,K14,K15)</f>
        <v/>
      </c>
      <c r="L9" s="4">
        <f>(I9+4*J9+K9)/6</f>
        <v/>
      </c>
      <c r="M9" s="4">
        <f>(K9-I9)/6</f>
        <v/>
      </c>
      <c r="N9" s="2" t="n"/>
      <c r="O9" s="2" t="n"/>
      <c r="P9" s="2" t="n"/>
      <c r="Q9" s="2" t="n"/>
      <c r="R9" s="2" t="n"/>
      <c r="S9" s="4">
        <f>SUM(S11,S12,S14,S15)</f>
        <v/>
      </c>
    </row>
    <row r="10">
      <c r="A10" s="5" t="inlineStr">
        <is>
          <t>2.1</t>
        </is>
      </c>
      <c r="B10" s="5" t="n"/>
      <c r="C10" s="5" t="inlineStr">
        <is>
          <t>Design</t>
        </is>
      </c>
      <c r="D10" s="5" t="n"/>
      <c r="E10" s="6">
        <f>SUM(E11:E12)</f>
        <v/>
      </c>
      <c r="F10" s="6">
        <f>SUM(F11:F12)</f>
        <v/>
      </c>
      <c r="G10" s="6">
        <f>SUM(G11:G12)</f>
        <v/>
      </c>
      <c r="H10" s="7">
        <f>(E10+4*F10+G10)/6</f>
        <v/>
      </c>
      <c r="I10" s="6">
        <f>SUM(I11:I12)</f>
        <v/>
      </c>
      <c r="J10" s="6">
        <f>SUM(J11:J12)</f>
        <v/>
      </c>
      <c r="K10" s="6">
        <f>SUM(K11:K12)</f>
        <v/>
      </c>
      <c r="L10" s="7">
        <f>(I10+4*J10+K10)/6</f>
        <v/>
      </c>
      <c r="M10" s="7">
        <f>(K10-I10)/6</f>
        <v/>
      </c>
      <c r="N10" s="5" t="n"/>
      <c r="O10" s="5" t="n"/>
      <c r="P10" s="5" t="n"/>
      <c r="Q10" s="5" t="n"/>
      <c r="R10" s="5" t="n"/>
      <c r="S10" s="7">
        <f>SUM(S11:S12)</f>
        <v/>
      </c>
    </row>
    <row r="11">
      <c r="A11" s="8" t="inlineStr">
        <is>
          <t>2.1.1</t>
        </is>
      </c>
      <c r="B11" s="8" t="n"/>
      <c r="C11" s="8" t="n"/>
      <c r="D11" s="8" t="inlineStr">
        <is>
          <t>System design</t>
        </is>
      </c>
      <c r="E11" s="9" t="n">
        <v>3</v>
      </c>
      <c r="F11" s="9" t="n">
        <v>5</v>
      </c>
      <c r="G11" s="9" t="n">
        <v>8</v>
      </c>
      <c r="H11" s="10">
        <f>(E11+4*F11+G11)/6</f>
        <v/>
      </c>
      <c r="I11" s="9" t="n">
        <v>3</v>
      </c>
      <c r="J11" s="9" t="n">
        <v>5</v>
      </c>
      <c r="K11" s="9" t="n">
        <v>8</v>
      </c>
      <c r="L11" s="10">
        <f>(I11+4*J11+K11)/6</f>
        <v/>
      </c>
      <c r="M11" s="10">
        <f>(K11-I11)/6</f>
        <v/>
      </c>
      <c r="N11" s="8" t="inlineStr">
        <is>
          <t>SD</t>
        </is>
      </c>
      <c r="O11" s="8" t="inlineStr">
        <is>
          <t>1.1.2, 1.2.1</t>
        </is>
      </c>
      <c r="P11" s="8" t="inlineStr">
        <is>
          <t>R2</t>
        </is>
      </c>
      <c r="Q11" s="8" t="inlineStr">
        <is>
          <t>Architecture decisions impact all downstream work</t>
        </is>
      </c>
      <c r="R11" s="8" t="inlineStr">
        <is>
          <t>Y</t>
        </is>
      </c>
      <c r="S11" s="10">
        <f>IF(R11="Y",H11,0)</f>
        <v/>
      </c>
    </row>
    <row r="12">
      <c r="A12" s="8" t="inlineStr">
        <is>
          <t>2.1.2</t>
        </is>
      </c>
      <c r="B12" s="8" t="n"/>
      <c r="C12" s="8" t="n"/>
      <c r="D12" s="8" t="inlineStr">
        <is>
          <t>Database schema design</t>
        </is>
      </c>
      <c r="E12" s="9" t="n">
        <v>2</v>
      </c>
      <c r="F12" s="9" t="n">
        <v>3</v>
      </c>
      <c r="G12" s="9" t="n">
        <v>5</v>
      </c>
      <c r="H12" s="10">
        <f>(E12+4*F12+G12)/6</f>
        <v/>
      </c>
      <c r="I12" s="9" t="n">
        <v>2</v>
      </c>
      <c r="J12" s="9" t="n">
        <v>3</v>
      </c>
      <c r="K12" s="9" t="n">
        <v>5</v>
      </c>
      <c r="L12" s="10">
        <f>(I12+4*J12+K12)/6</f>
        <v/>
      </c>
      <c r="M12" s="10">
        <f>(K12-I12)/6</f>
        <v/>
      </c>
      <c r="N12" s="8" t="inlineStr">
        <is>
          <t>SD</t>
        </is>
      </c>
      <c r="O12" s="8" t="inlineStr">
        <is>
          <t>2.1.1</t>
        </is>
      </c>
      <c r="P12" s="8" t="inlineStr"/>
      <c r="Q12" s="8" t="inlineStr"/>
      <c r="R12" s="8" t="inlineStr">
        <is>
          <t>Y</t>
        </is>
      </c>
      <c r="S12" s="10">
        <f>IF(R12="Y",H12,0)</f>
        <v/>
      </c>
    </row>
    <row r="13">
      <c r="A13" s="5" t="inlineStr">
        <is>
          <t>2.2</t>
        </is>
      </c>
      <c r="B13" s="5" t="n"/>
      <c r="C13" s="5" t="inlineStr">
        <is>
          <t>Implementation</t>
        </is>
      </c>
      <c r="D13" s="5" t="n"/>
      <c r="E13" s="6">
        <f>SUM(E14:E15)</f>
        <v/>
      </c>
      <c r="F13" s="6">
        <f>SUM(F14:F15)</f>
        <v/>
      </c>
      <c r="G13" s="6">
        <f>SUM(G14:G15)</f>
        <v/>
      </c>
      <c r="H13" s="7">
        <f>(E13+4*F13+G13)/6</f>
        <v/>
      </c>
      <c r="I13" s="6">
        <f>SUM(I14:I15)</f>
        <v/>
      </c>
      <c r="J13" s="6">
        <f>SUM(J14:J15)</f>
        <v/>
      </c>
      <c r="K13" s="6">
        <f>SUM(K14:K15)</f>
        <v/>
      </c>
      <c r="L13" s="7">
        <f>(I13+4*J13+K13)/6</f>
        <v/>
      </c>
      <c r="M13" s="7">
        <f>(K13-I13)/6</f>
        <v/>
      </c>
      <c r="N13" s="5" t="n"/>
      <c r="O13" s="5" t="n"/>
      <c r="P13" s="5" t="n"/>
      <c r="Q13" s="5" t="n"/>
      <c r="R13" s="5" t="n"/>
      <c r="S13" s="7">
        <f>SUM(S14:S15)</f>
        <v/>
      </c>
    </row>
    <row r="14">
      <c r="A14" s="8" t="inlineStr">
        <is>
          <t>2.2.1</t>
        </is>
      </c>
      <c r="B14" s="8" t="n"/>
      <c r="C14" s="8" t="n"/>
      <c r="D14" s="8" t="inlineStr">
        <is>
          <t>Backend development</t>
        </is>
      </c>
      <c r="E14" s="9" t="n">
        <v>8</v>
      </c>
      <c r="F14" s="9" t="n">
        <v>12</v>
      </c>
      <c r="G14" s="9" t="n">
        <v>18</v>
      </c>
      <c r="H14" s="10">
        <f>(E14+4*F14+G14)/6</f>
        <v/>
      </c>
      <c r="I14" s="9" t="n">
        <v>8</v>
      </c>
      <c r="J14" s="9" t="n">
        <v>12</v>
      </c>
      <c r="K14" s="9" t="n">
        <v>18</v>
      </c>
      <c r="L14" s="10">
        <f>(I14+4*J14+K14)/6</f>
        <v/>
      </c>
      <c r="M14" s="10">
        <f>(K14-I14)/6</f>
        <v/>
      </c>
      <c r="N14" s="8" t="inlineStr">
        <is>
          <t>SD</t>
        </is>
      </c>
      <c r="O14" s="8" t="inlineStr">
        <is>
          <t>2.1.2</t>
        </is>
      </c>
      <c r="P14" s="8" t="inlineStr">
        <is>
          <t>R1, R3</t>
        </is>
      </c>
      <c r="Q14" s="8" t="inlineStr">
        <is>
          <t>Core API and business logic implementation</t>
        </is>
      </c>
      <c r="R14" s="8" t="inlineStr">
        <is>
          <t>Y</t>
        </is>
      </c>
      <c r="S14" s="10">
        <f>IF(R14="Y",H14,0)</f>
        <v/>
      </c>
    </row>
    <row r="15">
      <c r="A15" s="8" t="inlineStr">
        <is>
          <t>2.2.2</t>
        </is>
      </c>
      <c r="B15" s="8" t="n"/>
      <c r="C15" s="8" t="n"/>
      <c r="D15" s="8" t="inlineStr">
        <is>
          <t>Frontend development</t>
        </is>
      </c>
      <c r="E15" s="9" t="n">
        <v>5</v>
      </c>
      <c r="F15" s="9" t="n">
        <v>8</v>
      </c>
      <c r="G15" s="9" t="n">
        <v>12</v>
      </c>
      <c r="H15" s="10">
        <f>(E15+4*F15+G15)/6</f>
        <v/>
      </c>
      <c r="I15" s="9" t="n">
        <v>5</v>
      </c>
      <c r="J15" s="9" t="n">
        <v>8</v>
      </c>
      <c r="K15" s="9" t="n">
        <v>12</v>
      </c>
      <c r="L15" s="10">
        <f>(I15+4*J15+K15)/6</f>
        <v/>
      </c>
      <c r="M15" s="10">
        <f>(K15-I15)/6</f>
        <v/>
      </c>
      <c r="N15" s="8" t="inlineStr">
        <is>
          <t>SD</t>
        </is>
      </c>
      <c r="O15" s="8" t="inlineStr">
        <is>
          <t>2.1.1</t>
        </is>
      </c>
      <c r="P15" s="8" t="inlineStr">
        <is>
          <t>R3</t>
        </is>
      </c>
      <c r="Q15" s="8" t="inlineStr"/>
      <c r="R15" s="8" t="inlineStr">
        <is>
          <t>Y</t>
        </is>
      </c>
      <c r="S15" s="10">
        <f>IF(R15="Y",H15,0)</f>
        <v/>
      </c>
    </row>
    <row r="16">
      <c r="A16" s="2" t="inlineStr">
        <is>
          <t>3</t>
        </is>
      </c>
      <c r="B16" s="2" t="inlineStr">
        <is>
          <t>Testing &amp; Deployment</t>
        </is>
      </c>
      <c r="C16" s="2" t="n"/>
      <c r="D16" s="2" t="n"/>
      <c r="E16" s="3">
        <f>SUM(E18,E19,E21,E22)</f>
        <v/>
      </c>
      <c r="F16" s="3">
        <f>SUM(F18,F19,F21,F22)</f>
        <v/>
      </c>
      <c r="G16" s="3">
        <f>SUM(G18,G19,G21,G22)</f>
        <v/>
      </c>
      <c r="H16" s="4">
        <f>(E16+4*F16+G16)/6</f>
        <v/>
      </c>
      <c r="I16" s="3">
        <f>SUM(I18,I19,I21,I22)</f>
        <v/>
      </c>
      <c r="J16" s="3">
        <f>SUM(J18,J19,J21,J22)</f>
        <v/>
      </c>
      <c r="K16" s="3">
        <f>SUM(K18,K19,K21,K22)</f>
        <v/>
      </c>
      <c r="L16" s="4">
        <f>(I16+4*J16+K16)/6</f>
        <v/>
      </c>
      <c r="M16" s="4">
        <f>(K16-I16)/6</f>
        <v/>
      </c>
      <c r="N16" s="2" t="n"/>
      <c r="O16" s="2" t="n"/>
      <c r="P16" s="2" t="n"/>
      <c r="Q16" s="2" t="n"/>
      <c r="R16" s="2" t="n"/>
      <c r="S16" s="4">
        <f>SUM(S18,S19,S21,S22)</f>
        <v/>
      </c>
    </row>
    <row r="17">
      <c r="A17" s="5" t="inlineStr">
        <is>
          <t>3.1</t>
        </is>
      </c>
      <c r="B17" s="5" t="n"/>
      <c r="C17" s="5" t="inlineStr">
        <is>
          <t>Testing</t>
        </is>
      </c>
      <c r="D17" s="5" t="n"/>
      <c r="E17" s="6">
        <f>SUM(E18:E19)</f>
        <v/>
      </c>
      <c r="F17" s="6">
        <f>SUM(F18:F19)</f>
        <v/>
      </c>
      <c r="G17" s="6">
        <f>SUM(G18:G19)</f>
        <v/>
      </c>
      <c r="H17" s="7">
        <f>(E17+4*F17+G17)/6</f>
        <v/>
      </c>
      <c r="I17" s="6">
        <f>SUM(I18:I19)</f>
        <v/>
      </c>
      <c r="J17" s="6">
        <f>SUM(J18:J19)</f>
        <v/>
      </c>
      <c r="K17" s="6">
        <f>SUM(K18:K19)</f>
        <v/>
      </c>
      <c r="L17" s="7">
        <f>(I17+4*J17+K17)/6</f>
        <v/>
      </c>
      <c r="M17" s="7">
        <f>(K17-I17)/6</f>
        <v/>
      </c>
      <c r="N17" s="5" t="n"/>
      <c r="O17" s="5" t="n"/>
      <c r="P17" s="5" t="n"/>
      <c r="Q17" s="5" t="n"/>
      <c r="R17" s="5" t="n"/>
      <c r="S17" s="7">
        <f>SUM(S18:S19)</f>
        <v/>
      </c>
    </row>
    <row r="18">
      <c r="A18" s="8" t="inlineStr">
        <is>
          <t>3.1.1</t>
        </is>
      </c>
      <c r="B18" s="8" t="n"/>
      <c r="C18" s="8" t="n"/>
      <c r="D18" s="8" t="inlineStr">
        <is>
          <t>Unit testing</t>
        </is>
      </c>
      <c r="E18" s="9" t="n">
        <v>3</v>
      </c>
      <c r="F18" s="9" t="n">
        <v>5</v>
      </c>
      <c r="G18" s="9" t="n">
        <v>8</v>
      </c>
      <c r="H18" s="10">
        <f>(E18+4*F18+G18)/6</f>
        <v/>
      </c>
      <c r="I18" s="9" t="n">
        <v>3</v>
      </c>
      <c r="J18" s="9" t="n">
        <v>5</v>
      </c>
      <c r="K18" s="9" t="n">
        <v>8</v>
      </c>
      <c r="L18" s="10">
        <f>(I18+4*J18+K18)/6</f>
        <v/>
      </c>
      <c r="M18" s="10">
        <f>(K18-I18)/6</f>
        <v/>
      </c>
      <c r="N18" s="8" t="inlineStr">
        <is>
          <t>QA, SD</t>
        </is>
      </c>
      <c r="O18" s="8" t="inlineStr">
        <is>
          <t>2.2.1, 2.2.2</t>
        </is>
      </c>
      <c r="P18" s="8" t="inlineStr"/>
      <c r="Q18" s="8" t="inlineStr"/>
      <c r="R18" s="8" t="inlineStr">
        <is>
          <t>Y</t>
        </is>
      </c>
      <c r="S18" s="10">
        <f>IF(R18="Y",H18,0)</f>
        <v/>
      </c>
    </row>
    <row r="19">
      <c r="A19" s="8" t="inlineStr">
        <is>
          <t>3.1.2</t>
        </is>
      </c>
      <c r="B19" s="8" t="n"/>
      <c r="C19" s="8" t="n"/>
      <c r="D19" s="8" t="inlineStr">
        <is>
          <t>Integration testing</t>
        </is>
      </c>
      <c r="E19" s="9" t="n">
        <v>3</v>
      </c>
      <c r="F19" s="9" t="n">
        <v>4</v>
      </c>
      <c r="G19" s="9" t="n">
        <v>7</v>
      </c>
      <c r="H19" s="10">
        <f>(E19+4*F19+G19)/6</f>
        <v/>
      </c>
      <c r="I19" s="9" t="n">
        <v>3</v>
      </c>
      <c r="J19" s="9" t="n">
        <v>4</v>
      </c>
      <c r="K19" s="9" t="n">
        <v>7</v>
      </c>
      <c r="L19" s="10">
        <f>(I19+4*J19+K19)/6</f>
        <v/>
      </c>
      <c r="M19" s="10">
        <f>(K19-I19)/6</f>
        <v/>
      </c>
      <c r="N19" s="8" t="inlineStr">
        <is>
          <t>QA</t>
        </is>
      </c>
      <c r="O19" s="8" t="inlineStr">
        <is>
          <t>3.1.1</t>
        </is>
      </c>
      <c r="P19" s="8" t="inlineStr">
        <is>
          <t>R4</t>
        </is>
      </c>
      <c r="Q19" s="8" t="inlineStr">
        <is>
          <t>External service dependencies may slow this</t>
        </is>
      </c>
      <c r="R19" s="8" t="inlineStr">
        <is>
          <t>Y</t>
        </is>
      </c>
      <c r="S19" s="10">
        <f>IF(R19="Y",H19,0)</f>
        <v/>
      </c>
    </row>
    <row r="20">
      <c r="A20" s="5" t="inlineStr">
        <is>
          <t>3.2</t>
        </is>
      </c>
      <c r="B20" s="5" t="n"/>
      <c r="C20" s="5" t="inlineStr">
        <is>
          <t>Release</t>
        </is>
      </c>
      <c r="D20" s="5" t="n"/>
      <c r="E20" s="6">
        <f>SUM(E21:E22)</f>
        <v/>
      </c>
      <c r="F20" s="6">
        <f>SUM(F21:F22)</f>
        <v/>
      </c>
      <c r="G20" s="6">
        <f>SUM(G21:G22)</f>
        <v/>
      </c>
      <c r="H20" s="7">
        <f>(E20+4*F20+G20)/6</f>
        <v/>
      </c>
      <c r="I20" s="6">
        <f>SUM(I21:I22)</f>
        <v/>
      </c>
      <c r="J20" s="6">
        <f>SUM(J21:J22)</f>
        <v/>
      </c>
      <c r="K20" s="6">
        <f>SUM(K21:K22)</f>
        <v/>
      </c>
      <c r="L20" s="7">
        <f>(I20+4*J20+K20)/6</f>
        <v/>
      </c>
      <c r="M20" s="7">
        <f>(K20-I20)/6</f>
        <v/>
      </c>
      <c r="N20" s="5" t="n"/>
      <c r="O20" s="5" t="n"/>
      <c r="P20" s="5" t="n"/>
      <c r="Q20" s="5" t="n"/>
      <c r="R20" s="5" t="n"/>
      <c r="S20" s="7">
        <f>SUM(S21:S22)</f>
        <v/>
      </c>
    </row>
    <row r="21">
      <c r="A21" s="8" t="inlineStr">
        <is>
          <t>3.2.1</t>
        </is>
      </c>
      <c r="B21" s="8" t="n"/>
      <c r="C21" s="8" t="n"/>
      <c r="D21" s="8" t="inlineStr">
        <is>
          <t>UAT</t>
        </is>
      </c>
      <c r="E21" s="9" t="n">
        <v>2</v>
      </c>
      <c r="F21" s="9" t="n">
        <v>3</v>
      </c>
      <c r="G21" s="9" t="n">
        <v>6</v>
      </c>
      <c r="H21" s="10">
        <f>(E21+4*F21+G21)/6</f>
        <v/>
      </c>
      <c r="I21" s="9" t="n">
        <v>2</v>
      </c>
      <c r="J21" s="9" t="n">
        <v>3</v>
      </c>
      <c r="K21" s="9" t="n">
        <v>6</v>
      </c>
      <c r="L21" s="10">
        <f>(I21+4*J21+K21)/6</f>
        <v/>
      </c>
      <c r="M21" s="10">
        <f>(K21-I21)/6</f>
        <v/>
      </c>
      <c r="N21" s="8" t="inlineStr">
        <is>
          <t>PM, QA</t>
        </is>
      </c>
      <c r="O21" s="8" t="inlineStr">
        <is>
          <t>3.1.2</t>
        </is>
      </c>
      <c r="P21" s="8" t="inlineStr">
        <is>
          <t>R1, R4</t>
        </is>
      </c>
      <c r="Q21" s="8" t="inlineStr">
        <is>
          <t>Client sign-off required before deployment</t>
        </is>
      </c>
      <c r="R21" s="8" t="inlineStr">
        <is>
          <t>Y</t>
        </is>
      </c>
      <c r="S21" s="10">
        <f>IF(R21="Y",H21,0)</f>
        <v/>
      </c>
    </row>
    <row r="22">
      <c r="A22" s="8" t="inlineStr">
        <is>
          <t>3.2.2</t>
        </is>
      </c>
      <c r="B22" s="8" t="n"/>
      <c r="C22" s="8" t="n"/>
      <c r="D22" s="8" t="inlineStr">
        <is>
          <t>Deployment</t>
        </is>
      </c>
      <c r="E22" s="9" t="n">
        <v>1</v>
      </c>
      <c r="F22" s="9" t="n">
        <v>2</v>
      </c>
      <c r="G22" s="9" t="n">
        <v>4</v>
      </c>
      <c r="H22" s="10">
        <f>(E22+4*F22+G22)/6</f>
        <v/>
      </c>
      <c r="I22" s="9" t="n">
        <v>1</v>
      </c>
      <c r="J22" s="9" t="n">
        <v>2</v>
      </c>
      <c r="K22" s="9" t="n">
        <v>4</v>
      </c>
      <c r="L22" s="10">
        <f>(I22+4*J22+K22)/6</f>
        <v/>
      </c>
      <c r="M22" s="10">
        <f>(K22-I22)/6</f>
        <v/>
      </c>
      <c r="N22" s="8" t="inlineStr">
        <is>
          <t>SD</t>
        </is>
      </c>
      <c r="O22" s="8" t="inlineStr">
        <is>
          <t>3.2.1</t>
        </is>
      </c>
      <c r="P22" s="8" t="inlineStr"/>
      <c r="Q22" s="8" t="inlineStr">
        <is>
          <t>Deployment window must be coordinated with ops team</t>
        </is>
      </c>
      <c r="R22" s="8" t="inlineStr">
        <is>
          <t>Y</t>
        </is>
      </c>
      <c r="S22" s="10">
        <f>IF(R22="Y",H22,0)</f>
        <v/>
      </c>
    </row>
    <row r="23">
      <c r="A23" s="11" t="inlineStr">
        <is>
          <t>TOTAL</t>
        </is>
      </c>
      <c r="B23" s="11" t="n"/>
      <c r="C23" s="11" t="n"/>
      <c r="D23" s="11" t="n"/>
      <c r="E23" s="12">
        <f>SUM(E2,E9,E16)</f>
        <v/>
      </c>
      <c r="F23" s="12">
        <f>SUM(F2,F9,F16)</f>
        <v/>
      </c>
      <c r="G23" s="12">
        <f>SUM(G2,G9,G16)</f>
        <v/>
      </c>
      <c r="H23" s="13">
        <f>SUM(H2,H9,H16)</f>
        <v/>
      </c>
      <c r="I23" s="12">
        <f>SUM(I2,I9,I16)</f>
        <v/>
      </c>
      <c r="J23" s="12">
        <f>SUM(J2,J9,J16)</f>
        <v/>
      </c>
      <c r="K23" s="12">
        <f>SUM(K2,K9,K16)</f>
        <v/>
      </c>
      <c r="L23" s="13">
        <f>SUM(L2,L9,L16)</f>
        <v/>
      </c>
      <c r="M23" s="13">
        <f>SUM(M2,M9,M16)</f>
        <v/>
      </c>
      <c r="N23" s="11" t="n"/>
      <c r="O23" s="11" t="n"/>
      <c r="P23" s="11" t="n"/>
      <c r="Q23" s="11" t="n"/>
      <c r="R23" s="11" t="n"/>
      <c r="S23" s="13">
        <f>SUM(S2,S9,S16)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1" t="inlineStr">
        <is>
          <t>ID</t>
        </is>
      </c>
      <c r="B1" s="1" t="inlineStr">
        <is>
          <t>Phase/WP/Activity</t>
        </is>
      </c>
      <c r="C1" s="1" t="inlineStr">
        <is>
          <t>PERT Duration</t>
        </is>
      </c>
      <c r="D1" s="1" t="inlineStr">
        <is>
          <t>σ</t>
        </is>
      </c>
      <c r="E1" s="1" t="inlineStr">
        <is>
          <t>P1</t>
        </is>
      </c>
      <c r="F1" s="1" t="inlineStr">
        <is>
          <t>P2</t>
        </is>
      </c>
      <c r="G1" s="1" t="inlineStr">
        <is>
          <t>P3</t>
        </is>
      </c>
      <c r="H1" s="1" t="inlineStr">
        <is>
          <t>P4</t>
        </is>
      </c>
      <c r="I1" s="1" t="inlineStr">
        <is>
          <t>P5</t>
        </is>
      </c>
    </row>
    <row r="2">
      <c r="A2">
        <f>WBS!A2</f>
        <v/>
      </c>
      <c r="B2">
        <f>WBS!B2&amp;IF(WBS!C2&lt;&gt;"", " "&amp;WBS!C2, "")&amp;IF(WBS!D2&lt;&gt;"", " "&amp;WBS!D2, "")</f>
        <v/>
      </c>
      <c r="C2">
        <f>WBS!L2</f>
        <v/>
      </c>
      <c r="D2">
        <f>WBS!M2</f>
        <v/>
      </c>
    </row>
    <row r="3">
      <c r="A3">
        <f>WBS!A3</f>
        <v/>
      </c>
      <c r="B3">
        <f>WBS!B3&amp;IF(WBS!C3&lt;&gt;"", " "&amp;WBS!C3, "")&amp;IF(WBS!D3&lt;&gt;"", " "&amp;WBS!D3, "")</f>
        <v/>
      </c>
      <c r="C3">
        <f>WBS!L3</f>
        <v/>
      </c>
      <c r="D3">
        <f>WBS!M3</f>
        <v/>
      </c>
    </row>
    <row r="4">
      <c r="A4">
        <f>WBS!A4</f>
        <v/>
      </c>
      <c r="B4">
        <f>WBS!B4&amp;IF(WBS!C4&lt;&gt;"", " "&amp;WBS!C4, "")&amp;IF(WBS!D4&lt;&gt;"", " "&amp;WBS!D4, "")</f>
        <v/>
      </c>
      <c r="C4">
        <f>WBS!L4</f>
        <v/>
      </c>
      <c r="D4">
        <f>WBS!M4</f>
        <v/>
      </c>
      <c r="E4" s="14" t="n"/>
    </row>
    <row r="5">
      <c r="A5">
        <f>WBS!A5</f>
        <v/>
      </c>
      <c r="B5">
        <f>WBS!B5&amp;IF(WBS!C5&lt;&gt;"", " "&amp;WBS!C5, "")&amp;IF(WBS!D5&lt;&gt;"", " "&amp;WBS!D5, "")</f>
        <v/>
      </c>
      <c r="C5">
        <f>WBS!L5</f>
        <v/>
      </c>
      <c r="D5">
        <f>WBS!M5</f>
        <v/>
      </c>
      <c r="E5" s="14" t="n"/>
    </row>
    <row r="6">
      <c r="A6">
        <f>WBS!A6</f>
        <v/>
      </c>
      <c r="B6">
        <f>WBS!B6&amp;IF(WBS!C6&lt;&gt;"", " "&amp;WBS!C6, "")&amp;IF(WBS!D6&lt;&gt;"", " "&amp;WBS!D6, "")</f>
        <v/>
      </c>
      <c r="C6">
        <f>WBS!L6</f>
        <v/>
      </c>
      <c r="D6">
        <f>WBS!M6</f>
        <v/>
      </c>
    </row>
    <row r="7">
      <c r="A7">
        <f>WBS!A7</f>
        <v/>
      </c>
      <c r="B7">
        <f>WBS!B7&amp;IF(WBS!C7&lt;&gt;"", " "&amp;WBS!C7, "")&amp;IF(WBS!D7&lt;&gt;"", " "&amp;WBS!D7, "")</f>
        <v/>
      </c>
      <c r="C7">
        <f>WBS!L7</f>
        <v/>
      </c>
      <c r="D7">
        <f>WBS!M7</f>
        <v/>
      </c>
      <c r="E7" s="15" t="n"/>
    </row>
    <row r="8">
      <c r="A8">
        <f>WBS!A8</f>
        <v/>
      </c>
      <c r="B8">
        <f>WBS!B8&amp;IF(WBS!C8&lt;&gt;"", " "&amp;WBS!C8, "")&amp;IF(WBS!D8&lt;&gt;"", " "&amp;WBS!D8, "")</f>
        <v/>
      </c>
      <c r="C8">
        <f>WBS!L8</f>
        <v/>
      </c>
      <c r="D8">
        <f>WBS!M8</f>
        <v/>
      </c>
      <c r="E8" s="15" t="n"/>
      <c r="F8" s="15" t="n"/>
    </row>
    <row r="9">
      <c r="A9">
        <f>WBS!A9</f>
        <v/>
      </c>
      <c r="B9">
        <f>WBS!B9&amp;IF(WBS!C9&lt;&gt;"", " "&amp;WBS!C9, "")&amp;IF(WBS!D9&lt;&gt;"", " "&amp;WBS!D9, "")</f>
        <v/>
      </c>
      <c r="C9">
        <f>WBS!L9</f>
        <v/>
      </c>
      <c r="D9">
        <f>WBS!M9</f>
        <v/>
      </c>
    </row>
    <row r="10">
      <c r="A10">
        <f>WBS!A10</f>
        <v/>
      </c>
      <c r="B10">
        <f>WBS!B10&amp;IF(WBS!C10&lt;&gt;"", " "&amp;WBS!C10, "")&amp;IF(WBS!D10&lt;&gt;"", " "&amp;WBS!D10, "")</f>
        <v/>
      </c>
      <c r="C10">
        <f>WBS!L10</f>
        <v/>
      </c>
      <c r="D10">
        <f>WBS!M10</f>
        <v/>
      </c>
    </row>
    <row r="11">
      <c r="A11">
        <f>WBS!A11</f>
        <v/>
      </c>
      <c r="B11">
        <f>WBS!B11&amp;IF(WBS!C11&lt;&gt;"", " "&amp;WBS!C11, "")&amp;IF(WBS!D11&lt;&gt;"", " "&amp;WBS!D11, "")</f>
        <v/>
      </c>
      <c r="C11">
        <f>WBS!L11</f>
        <v/>
      </c>
      <c r="D11">
        <f>WBS!M11</f>
        <v/>
      </c>
      <c r="E11" s="14" t="n"/>
      <c r="F11" s="14" t="n"/>
    </row>
    <row r="12">
      <c r="A12">
        <f>WBS!A12</f>
        <v/>
      </c>
      <c r="B12">
        <f>WBS!B12&amp;IF(WBS!C12&lt;&gt;"", " "&amp;WBS!C12, "")&amp;IF(WBS!D12&lt;&gt;"", " "&amp;WBS!D12, "")</f>
        <v/>
      </c>
      <c r="C12">
        <f>WBS!L12</f>
        <v/>
      </c>
      <c r="D12">
        <f>WBS!M12</f>
        <v/>
      </c>
      <c r="F12" s="14" t="n"/>
    </row>
    <row r="13">
      <c r="A13">
        <f>WBS!A13</f>
        <v/>
      </c>
      <c r="B13">
        <f>WBS!B13&amp;IF(WBS!C13&lt;&gt;"", " "&amp;WBS!C13, "")&amp;IF(WBS!D13&lt;&gt;"", " "&amp;WBS!D13, "")</f>
        <v/>
      </c>
      <c r="C13">
        <f>WBS!L13</f>
        <v/>
      </c>
      <c r="D13">
        <f>WBS!M13</f>
        <v/>
      </c>
    </row>
    <row r="14">
      <c r="A14">
        <f>WBS!A14</f>
        <v/>
      </c>
      <c r="B14">
        <f>WBS!B14&amp;IF(WBS!C14&lt;&gt;"", " "&amp;WBS!C14, "")&amp;IF(WBS!D14&lt;&gt;"", " "&amp;WBS!D14, "")</f>
        <v/>
      </c>
      <c r="C14">
        <f>WBS!L14</f>
        <v/>
      </c>
      <c r="D14">
        <f>WBS!M14</f>
        <v/>
      </c>
      <c r="F14" s="14" t="n"/>
      <c r="G14" s="14" t="n"/>
    </row>
    <row r="15">
      <c r="A15">
        <f>WBS!A15</f>
        <v/>
      </c>
      <c r="B15">
        <f>WBS!B15&amp;IF(WBS!C15&lt;&gt;"", " "&amp;WBS!C15, "")&amp;IF(WBS!D15&lt;&gt;"", " "&amp;WBS!D15, "")</f>
        <v/>
      </c>
      <c r="C15">
        <f>WBS!L15</f>
        <v/>
      </c>
      <c r="D15">
        <f>WBS!M15</f>
        <v/>
      </c>
      <c r="F15" s="15" t="n"/>
      <c r="G15" s="15" t="n"/>
    </row>
    <row r="16">
      <c r="A16">
        <f>WBS!A16</f>
        <v/>
      </c>
      <c r="B16">
        <f>WBS!B16&amp;IF(WBS!C16&lt;&gt;"", " "&amp;WBS!C16, "")&amp;IF(WBS!D16&lt;&gt;"", " "&amp;WBS!D16, "")</f>
        <v/>
      </c>
      <c r="C16">
        <f>WBS!L16</f>
        <v/>
      </c>
      <c r="D16">
        <f>WBS!M16</f>
        <v/>
      </c>
    </row>
    <row r="17">
      <c r="A17">
        <f>WBS!A17</f>
        <v/>
      </c>
      <c r="B17">
        <f>WBS!B17&amp;IF(WBS!C17&lt;&gt;"", " "&amp;WBS!C17, "")&amp;IF(WBS!D17&lt;&gt;"", " "&amp;WBS!D17, "")</f>
        <v/>
      </c>
      <c r="C17">
        <f>WBS!L17</f>
        <v/>
      </c>
      <c r="D17">
        <f>WBS!M17</f>
        <v/>
      </c>
    </row>
    <row r="18">
      <c r="A18">
        <f>WBS!A18</f>
        <v/>
      </c>
      <c r="B18">
        <f>WBS!B18&amp;IF(WBS!C18&lt;&gt;"", " "&amp;WBS!C18, "")&amp;IF(WBS!D18&lt;&gt;"", " "&amp;WBS!D18, "")</f>
        <v/>
      </c>
      <c r="C18">
        <f>WBS!L18</f>
        <v/>
      </c>
      <c r="D18">
        <f>WBS!M18</f>
        <v/>
      </c>
      <c r="G18" s="14" t="n"/>
      <c r="H18" s="14" t="n"/>
    </row>
    <row r="19">
      <c r="A19">
        <f>WBS!A19</f>
        <v/>
      </c>
      <c r="B19">
        <f>WBS!B19&amp;IF(WBS!C19&lt;&gt;"", " "&amp;WBS!C19, "")&amp;IF(WBS!D19&lt;&gt;"", " "&amp;WBS!D19, "")</f>
        <v/>
      </c>
      <c r="C19">
        <f>WBS!L19</f>
        <v/>
      </c>
      <c r="D19">
        <f>WBS!M19</f>
        <v/>
      </c>
      <c r="H19" s="14" t="n"/>
    </row>
    <row r="20">
      <c r="A20">
        <f>WBS!A20</f>
        <v/>
      </c>
      <c r="B20">
        <f>WBS!B20&amp;IF(WBS!C20&lt;&gt;"", " "&amp;WBS!C20, "")&amp;IF(WBS!D20&lt;&gt;"", " "&amp;WBS!D20, "")</f>
        <v/>
      </c>
      <c r="C20">
        <f>WBS!L20</f>
        <v/>
      </c>
      <c r="D20">
        <f>WBS!M20</f>
        <v/>
      </c>
    </row>
    <row r="21">
      <c r="A21">
        <f>WBS!A21</f>
        <v/>
      </c>
      <c r="B21">
        <f>WBS!B21&amp;IF(WBS!C21&lt;&gt;"", " "&amp;WBS!C21, "")&amp;IF(WBS!D21&lt;&gt;"", " "&amp;WBS!D21, "")</f>
        <v/>
      </c>
      <c r="C21">
        <f>WBS!L21</f>
        <v/>
      </c>
      <c r="D21">
        <f>WBS!M21</f>
        <v/>
      </c>
      <c r="H21" s="14" t="n"/>
      <c r="I21" s="14" t="n"/>
    </row>
    <row r="22">
      <c r="A22">
        <f>WBS!A22</f>
        <v/>
      </c>
      <c r="B22">
        <f>WBS!B22&amp;IF(WBS!C22&lt;&gt;"", " "&amp;WBS!C22, "")&amp;IF(WBS!D22&lt;&gt;"", " "&amp;WBS!D22, "")</f>
        <v/>
      </c>
      <c r="C22">
        <f>WBS!L22</f>
        <v/>
      </c>
      <c r="D22">
        <f>WBS!M22</f>
        <v/>
      </c>
      <c r="I22" s="14" t="n"/>
    </row>
    <row r="24">
      <c r="A24" s="16" t="inlineStr">
        <is>
          <t>Critical Path</t>
        </is>
      </c>
      <c r="B24" t="inlineStr">
        <is>
          <t>1.1.1 → 1.1.2 → 2.1.1 → 2.1.2 → 2.2.1 → 3.1.1 → 3.1.2 → 3.2.1 → 3.2.2</t>
        </is>
      </c>
    </row>
    <row r="25">
      <c r="A25" s="16" t="inlineStr">
        <is>
          <t>Total PERT Duration</t>
        </is>
      </c>
      <c r="B25">
        <f>WBS!L23</f>
        <v/>
      </c>
    </row>
    <row r="26">
      <c r="A26" s="16" t="inlineStr">
        <is>
          <t>CI 68%</t>
        </is>
      </c>
      <c r="B26">
        <f>WBS!L23&amp;" ± "&amp;WBS!M23</f>
        <v/>
      </c>
    </row>
    <row r="27">
      <c r="A27" s="16" t="inlineStr">
        <is>
          <t>CI 95%</t>
        </is>
      </c>
      <c r="B27">
        <f>WBS!L23&amp;" ± 2×"&amp;WBS!M23</f>
        <v/>
      </c>
    </row>
    <row r="28">
      <c r="A28" s="16" t="inlineStr">
        <is>
          <t>Start Date</t>
        </is>
      </c>
      <c r="B28" s="17" t="n">
        <v>46118</v>
      </c>
    </row>
    <row r="29">
      <c r="A29" s="16" t="inlineStr">
        <is>
          <t>End Date</t>
        </is>
      </c>
      <c r="B29" s="17" t="n">
        <v>46178</v>
      </c>
    </row>
    <row r="31">
      <c r="A31" s="18" t="inlineStr">
        <is>
          <t>Legend</t>
        </is>
      </c>
    </row>
    <row r="32">
      <c r="A32" s="14" t="inlineStr"/>
      <c r="B32" t="inlineStr">
        <is>
          <t>Critical Path</t>
        </is>
      </c>
    </row>
    <row r="33">
      <c r="A33" s="15" t="inlineStr"/>
      <c r="B33" t="inlineStr">
        <is>
          <t>Parallel Activity</t>
        </is>
      </c>
    </row>
    <row r="34">
      <c r="A34" s="19" t="inlineStr"/>
      <c r="B34" t="inlineStr">
        <is>
          <t>Continuous Activity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D1" s="20" t="inlineStr">
        <is>
          <t>Y</t>
        </is>
      </c>
      <c r="E1" s="20" t="inlineStr">
        <is>
          <t>Y</t>
        </is>
      </c>
      <c r="F1" s="20" t="inlineStr">
        <is>
          <t>Y</t>
        </is>
      </c>
    </row>
    <row r="2">
      <c r="A2" s="21" t="inlineStr">
        <is>
          <t>Phase</t>
        </is>
      </c>
      <c r="B2" s="21" t="inlineStr">
        <is>
          <t>Description</t>
        </is>
      </c>
      <c r="C2" s="21" t="inlineStr">
        <is>
          <t>Team</t>
        </is>
      </c>
      <c r="D2" s="22" t="inlineStr">
        <is>
          <t>Project Manager</t>
        </is>
      </c>
      <c r="E2" s="22" t="inlineStr">
        <is>
          <t>Senior Developer</t>
        </is>
      </c>
      <c r="F2" s="22" t="inlineStr">
        <is>
          <t>QA Engineer</t>
        </is>
      </c>
      <c r="G2" s="22" t="inlineStr">
        <is>
          <t>TOTAL EFFORT</t>
        </is>
      </c>
      <c r="H2" s="22" t="inlineStr">
        <is>
          <t>BILLABLE EFFORT</t>
        </is>
      </c>
    </row>
    <row r="3">
      <c r="A3" s="8" t="inlineStr">
        <is>
          <t>Analysis</t>
        </is>
      </c>
      <c r="B3" s="8" t="inlineStr">
        <is>
          <t>Requirements analysis and planning</t>
        </is>
      </c>
      <c r="C3" s="8" t="inlineStr">
        <is>
          <t>Management</t>
        </is>
      </c>
      <c r="D3" s="23" t="n">
        <v>8</v>
      </c>
      <c r="G3" s="24">
        <f>SUM(D3:F3)</f>
        <v/>
      </c>
      <c r="H3" s="24">
        <f>SUMPRODUCT(D3:F3,(D$1:F$1="Y")*1)</f>
        <v/>
      </c>
    </row>
    <row r="4">
      <c r="A4" s="8" t="inlineStr">
        <is>
          <t>Design &amp; Development</t>
        </is>
      </c>
      <c r="B4" s="8" t="inlineStr">
        <is>
          <t>System design and implementation</t>
        </is>
      </c>
      <c r="C4" s="8" t="inlineStr">
        <is>
          <t>Management</t>
        </is>
      </c>
      <c r="D4" s="23" t="n">
        <v>5</v>
      </c>
      <c r="G4" s="24">
        <f>SUM(D4:F4)</f>
        <v/>
      </c>
      <c r="H4" s="24">
        <f>SUMPRODUCT(D4:F4,(D$1:F$1="Y")*1)</f>
        <v/>
      </c>
    </row>
    <row r="5">
      <c r="A5" s="8" t="inlineStr">
        <is>
          <t>Testing &amp; Deployment</t>
        </is>
      </c>
      <c r="B5" s="8" t="inlineStr">
        <is>
          <t>Quality assurance and production rollout</t>
        </is>
      </c>
      <c r="C5" s="8" t="inlineStr">
        <is>
          <t>Management</t>
        </is>
      </c>
      <c r="D5" s="23" t="n">
        <v>5</v>
      </c>
      <c r="G5" s="24">
        <f>SUM(D5:F5)</f>
        <v/>
      </c>
      <c r="H5" s="24">
        <f>SUMPRODUCT(D5:F5,(D$1:F$1="Y")*1)</f>
        <v/>
      </c>
    </row>
    <row r="6">
      <c r="A6" s="5" t="inlineStr">
        <is>
          <t>Subtotal — Management</t>
        </is>
      </c>
      <c r="B6" s="5" t="inlineStr"/>
      <c r="C6" s="5" t="inlineStr">
        <is>
          <t>Management</t>
        </is>
      </c>
      <c r="D6" s="25">
        <f>SUM(D3,D4,D5)</f>
        <v/>
      </c>
      <c r="E6" s="25">
        <f>SUM(E3,E4,E5)</f>
        <v/>
      </c>
      <c r="F6" s="25">
        <f>SUM(F3,F4,F5)</f>
        <v/>
      </c>
      <c r="G6" s="26">
        <f>SUM(D6:F6)</f>
        <v/>
      </c>
      <c r="H6" s="26">
        <f>SUMPRODUCT(D6:F6,(D$1:F$1="Y")*1)</f>
        <v/>
      </c>
    </row>
    <row r="7">
      <c r="A7" s="8" t="inlineStr">
        <is>
          <t>Analysis</t>
        </is>
      </c>
      <c r="B7" s="8" t="inlineStr">
        <is>
          <t>Requirements analysis and planning</t>
        </is>
      </c>
      <c r="C7" s="8" t="inlineStr">
        <is>
          <t>Development</t>
        </is>
      </c>
      <c r="E7" s="23" t="n">
        <v>13</v>
      </c>
      <c r="G7" s="24">
        <f>SUM(D7:F7)</f>
        <v/>
      </c>
      <c r="H7" s="24">
        <f>SUMPRODUCT(D7:F7,(D$1:F$1="Y")*1)</f>
        <v/>
      </c>
    </row>
    <row r="8">
      <c r="A8" s="8" t="inlineStr">
        <is>
          <t>Design &amp; Development</t>
        </is>
      </c>
      <c r="B8" s="8" t="inlineStr">
        <is>
          <t>System design and implementation</t>
        </is>
      </c>
      <c r="C8" s="8" t="inlineStr">
        <is>
          <t>Development</t>
        </is>
      </c>
      <c r="E8" s="23" t="n">
        <v>28</v>
      </c>
      <c r="G8" s="24">
        <f>SUM(D8:F8)</f>
        <v/>
      </c>
      <c r="H8" s="24">
        <f>SUMPRODUCT(D8:F8,(D$1:F$1="Y")*1)</f>
        <v/>
      </c>
    </row>
    <row r="9">
      <c r="A9" s="8" t="inlineStr">
        <is>
          <t>Testing &amp; Deployment</t>
        </is>
      </c>
      <c r="B9" s="8" t="inlineStr">
        <is>
          <t>Quality assurance and production rollout</t>
        </is>
      </c>
      <c r="C9" s="8" t="inlineStr">
        <is>
          <t>Development</t>
        </is>
      </c>
      <c r="E9" s="23" t="n">
        <v>9</v>
      </c>
      <c r="G9" s="24">
        <f>SUM(D9:F9)</f>
        <v/>
      </c>
      <c r="H9" s="24">
        <f>SUMPRODUCT(D9:F9,(D$1:F$1="Y")*1)</f>
        <v/>
      </c>
    </row>
    <row r="10">
      <c r="A10" s="8" t="inlineStr">
        <is>
          <t>Testing &amp; Deployment</t>
        </is>
      </c>
      <c r="B10" s="8" t="inlineStr">
        <is>
          <t>Quality assurance and production rollout</t>
        </is>
      </c>
      <c r="C10" s="8" t="inlineStr">
        <is>
          <t>Development</t>
        </is>
      </c>
      <c r="F10" s="23" t="n">
        <v>12</v>
      </c>
      <c r="G10" s="24">
        <f>SUM(D10:F10)</f>
        <v/>
      </c>
      <c r="H10" s="24">
        <f>SUMPRODUCT(D10:F10,(D$1:F$1="Y")*1)</f>
        <v/>
      </c>
    </row>
    <row r="11">
      <c r="A11" s="5" t="inlineStr">
        <is>
          <t>Subtotal — Development</t>
        </is>
      </c>
      <c r="B11" s="5" t="inlineStr"/>
      <c r="C11" s="5" t="inlineStr">
        <is>
          <t>Development</t>
        </is>
      </c>
      <c r="D11" s="25">
        <f>SUM(D7,D8,D9,D10)</f>
        <v/>
      </c>
      <c r="E11" s="25">
        <f>SUM(E7,E8,E9,E10)</f>
        <v/>
      </c>
      <c r="F11" s="25">
        <f>SUM(F7,F8,F9,F10)</f>
        <v/>
      </c>
      <c r="G11" s="26">
        <f>SUM(D11:F11)</f>
        <v/>
      </c>
      <c r="H11" s="26">
        <f>SUMPRODUCT(D11:F11,(D$1:F$1="Y")*1)</f>
        <v/>
      </c>
    </row>
    <row r="12">
      <c r="A12" s="11" t="inlineStr">
        <is>
          <t>TOTAL</t>
        </is>
      </c>
      <c r="B12" s="11" t="inlineStr"/>
      <c r="C12" s="11" t="inlineStr"/>
      <c r="G12" s="27">
        <f>SUM(G3:G11)</f>
        <v/>
      </c>
      <c r="H12" s="27">
        <f>SUM(H3:H11)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(pd)</t>
        </is>
      </c>
      <c r="M1" s="1" t="inlineStr">
        <is>
          <t>Contingency Cost</t>
        </is>
      </c>
    </row>
    <row r="2">
      <c r="A2" t="inlineStr">
        <is>
          <t>R1</t>
        </is>
      </c>
      <c r="B2" t="inlineStr">
        <is>
          <t>Key resource unavailable due to illness or turnover</t>
        </is>
      </c>
      <c r="C2" t="inlineStr">
        <is>
          <t>Organizational</t>
        </is>
      </c>
      <c r="D2" t="inlineStr">
        <is>
          <t>1, 2, 3</t>
        </is>
      </c>
      <c r="E2" t="n">
        <v>3</v>
      </c>
      <c r="F2" t="n">
        <v>4</v>
      </c>
      <c r="G2">
        <f>E2*F2</f>
        <v/>
      </c>
      <c r="H2">
        <f>IF(G2&gt;=15,"CRITICAL",IF(G2&gt;=10,"HIGH",IF(G2&gt;=5,"MEDIUM","LOW")))</f>
        <v/>
      </c>
      <c r="I2" t="inlineStr">
        <is>
          <t>Mitigate</t>
        </is>
      </c>
      <c r="J2" t="inlineStr">
        <is>
          <t>Cross-train team members and maintain knowledge base</t>
        </is>
      </c>
      <c r="K2" t="inlineStr">
        <is>
          <t>PM</t>
        </is>
      </c>
      <c r="L2" t="n">
        <v>5</v>
      </c>
      <c r="M2">
        <f>L2*500</f>
        <v/>
      </c>
    </row>
    <row r="3">
      <c r="A3" t="inlineStr">
        <is>
          <t>R2</t>
        </is>
      </c>
      <c r="B3" t="inlineStr">
        <is>
          <t>Requirements change mid-project due to regulatory updates</t>
        </is>
      </c>
      <c r="C3" t="inlineStr">
        <is>
          <t>External</t>
        </is>
      </c>
      <c r="D3" t="inlineStr">
        <is>
          <t>1, 2</t>
        </is>
      </c>
      <c r="E3" t="n">
        <v>4</v>
      </c>
      <c r="F3" t="n">
        <v>3</v>
      </c>
      <c r="G3">
        <f>E3*F3</f>
        <v/>
      </c>
      <c r="H3">
        <f>IF(G3&gt;=15,"CRITICAL",IF(G3&gt;=10,"HIGH",IF(G3&gt;=5,"MEDIUM","LOW")))</f>
        <v/>
      </c>
      <c r="I3" t="inlineStr">
        <is>
          <t>Accept</t>
        </is>
      </c>
      <c r="J3" t="inlineStr">
        <is>
          <t>Budget for change requests and maintain flexible architecture</t>
        </is>
      </c>
      <c r="K3" t="inlineStr">
        <is>
          <t>PM</t>
        </is>
      </c>
      <c r="L3" t="n">
        <v>8</v>
      </c>
      <c r="M3">
        <f>L3*500</f>
        <v/>
      </c>
    </row>
    <row r="4">
      <c r="A4" t="inlineStr">
        <is>
          <t>R3</t>
        </is>
      </c>
      <c r="B4" t="inlineStr">
        <is>
          <t>Third-party API integration complexity underestimated</t>
        </is>
      </c>
      <c r="C4" t="inlineStr">
        <is>
          <t>Technical</t>
        </is>
      </c>
      <c r="D4" t="inlineStr">
        <is>
          <t>2</t>
        </is>
      </c>
      <c r="E4" t="n">
        <v>3</v>
      </c>
      <c r="F4" t="n">
        <v>3</v>
      </c>
      <c r="G4">
        <f>E4*F4</f>
        <v/>
      </c>
      <c r="H4">
        <f>IF(G4&gt;=15,"CRITICAL",IF(G4&gt;=10,"HIGH",IF(G4&gt;=5,"MEDIUM","LOW")))</f>
        <v/>
      </c>
      <c r="I4" t="inlineStr">
        <is>
          <t>Mitigate</t>
        </is>
      </c>
      <c r="J4" t="inlineStr">
        <is>
          <t>Prototype integration early and allocate spike time</t>
        </is>
      </c>
      <c r="K4" t="inlineStr">
        <is>
          <t>SD</t>
        </is>
      </c>
      <c r="L4" t="n">
        <v>4</v>
      </c>
      <c r="M4">
        <f>L4*500</f>
        <v/>
      </c>
    </row>
    <row r="5">
      <c r="A5" s="28" t="inlineStr">
        <is>
          <t>R4</t>
        </is>
      </c>
      <c r="B5" s="28" t="inlineStr">
        <is>
          <t>UAT delayed due to client availability or environment issues</t>
        </is>
      </c>
      <c r="C5" s="28" t="inlineStr">
        <is>
          <t>External</t>
        </is>
      </c>
      <c r="D5" s="28" t="inlineStr">
        <is>
          <t>3</t>
        </is>
      </c>
      <c r="E5" s="28" t="n">
        <v>4</v>
      </c>
      <c r="F5" s="28" t="n">
        <v>4</v>
      </c>
      <c r="G5" s="28">
        <f>E5*F5</f>
        <v/>
      </c>
      <c r="H5" s="28">
        <f>IF(G5&gt;=15,"CRITICAL",IF(G5&gt;=10,"HIGH",IF(G5&gt;=5,"MEDIUM","LOW")))</f>
        <v/>
      </c>
      <c r="I5" s="28" t="inlineStr">
        <is>
          <t>Mitigate</t>
        </is>
      </c>
      <c r="J5" s="28" t="inlineStr">
        <is>
          <t>Agree on UAT schedule and environment setup checklist upfront</t>
        </is>
      </c>
      <c r="K5" s="28" t="inlineStr">
        <is>
          <t>PM</t>
        </is>
      </c>
      <c r="L5" s="28" t="n">
        <v>6</v>
      </c>
      <c r="M5" s="28">
        <f>L5*500</f>
        <v/>
      </c>
    </row>
    <row r="7">
      <c r="A7" s="11" t="inlineStr">
        <is>
          <t>TOTAL</t>
        </is>
      </c>
      <c r="L7" s="11">
        <f>SUM(L2:L5)</f>
        <v/>
      </c>
      <c r="M7" s="11">
        <f>SUM(M2:M5)</f>
        <v/>
      </c>
    </row>
    <row r="8">
      <c r="A8" t="inlineStr">
        <is>
          <t>Management Reserve</t>
        </is>
      </c>
      <c r="L8">
        <f>L7*0.1</f>
        <v/>
      </c>
      <c r="M8">
        <f>M7*0.1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(pd)</t>
        </is>
      </c>
      <c r="D1" s="1" t="inlineStr">
        <is>
          <t>Likely Effort (pd)</t>
        </is>
      </c>
      <c r="E1" s="1" t="inlineStr">
        <is>
          <t>Worst Effort (pd)</t>
        </is>
      </c>
      <c r="F1" s="1" t="inlineStr">
        <is>
          <t>PERT Effort (pd)</t>
        </is>
      </c>
      <c r="G1" s="1" t="inlineStr">
        <is>
          <t>Best Duration (d)</t>
        </is>
      </c>
      <c r="H1" s="1" t="inlineStr">
        <is>
          <t>Likely Duration (d)</t>
        </is>
      </c>
      <c r="I1" s="1" t="inlineStr">
        <is>
          <t>Worst Duration (d)</t>
        </is>
      </c>
      <c r="J1" s="1" t="inlineStr">
        <is>
          <t>PERT Duration (d)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Requirements analysis and planning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WBS!B9</f>
        <v/>
      </c>
      <c r="B3" s="2" t="inlineStr">
        <is>
          <t>System design and implementation</t>
        </is>
      </c>
      <c r="C3" s="4">
        <f>WBS!E9</f>
        <v/>
      </c>
      <c r="D3" s="4">
        <f>WBS!F9</f>
        <v/>
      </c>
      <c r="E3" s="4">
        <f>WBS!G9</f>
        <v/>
      </c>
      <c r="F3" s="4">
        <f>WBS!H9</f>
        <v/>
      </c>
      <c r="G3" s="4">
        <f>WBS!I9</f>
        <v/>
      </c>
      <c r="H3" s="4">
        <f>WBS!J9</f>
        <v/>
      </c>
      <c r="I3" s="4">
        <f>WBS!K9</f>
        <v/>
      </c>
      <c r="J3" s="4">
        <f>WBS!L9</f>
        <v/>
      </c>
      <c r="K3" s="4">
        <f>WBS!M9</f>
        <v/>
      </c>
    </row>
    <row r="4">
      <c r="A4" s="2">
        <f>WBS!B16</f>
        <v/>
      </c>
      <c r="B4" s="2" t="inlineStr">
        <is>
          <t>Quality assurance and production rollout</t>
        </is>
      </c>
      <c r="C4" s="4">
        <f>WBS!E16</f>
        <v/>
      </c>
      <c r="D4" s="4">
        <f>WBS!F16</f>
        <v/>
      </c>
      <c r="E4" s="4">
        <f>WBS!G16</f>
        <v/>
      </c>
      <c r="F4" s="4">
        <f>WBS!H16</f>
        <v/>
      </c>
      <c r="G4" s="4">
        <f>WBS!I16</f>
        <v/>
      </c>
      <c r="H4" s="4">
        <f>WBS!J16</f>
        <v/>
      </c>
      <c r="I4" s="4">
        <f>WBS!K16</f>
        <v/>
      </c>
      <c r="J4" s="4">
        <f>WBS!L16</f>
        <v/>
      </c>
      <c r="K4" s="4">
        <f>WBS!M16</f>
        <v/>
      </c>
    </row>
    <row r="5">
      <c r="A5" s="11" t="inlineStr">
        <is>
          <t>TOTAL</t>
        </is>
      </c>
      <c r="B5" s="11" t="n"/>
      <c r="C5" s="13">
        <f>SUM(C2:C4)</f>
        <v/>
      </c>
      <c r="D5" s="13">
        <f>SUM(D2:D4)</f>
        <v/>
      </c>
      <c r="E5" s="13">
        <f>SUM(E2:E4)</f>
        <v/>
      </c>
      <c r="F5" s="13">
        <f>SUM(F2:F4)</f>
        <v/>
      </c>
      <c r="G5" s="13">
        <f>SUM(G2:G4)</f>
        <v/>
      </c>
      <c r="H5" s="13">
        <f>SUM(H2:H4)</f>
        <v/>
      </c>
      <c r="I5" s="13">
        <f>SUM(I2:I4)</f>
        <v/>
      </c>
      <c r="J5" s="13">
        <f>SUM(J2:J4)</f>
        <v/>
      </c>
      <c r="K5" s="13">
        <f>SUM(K2:K4)</f>
        <v/>
      </c>
    </row>
    <row r="7">
      <c r="A7" t="inlineStr">
        <is>
          <t>Total PERT Effort (pd)</t>
        </is>
      </c>
      <c r="B7">
        <f>F5</f>
        <v/>
      </c>
    </row>
    <row r="8">
      <c r="A8" t="inlineStr">
        <is>
          <t>Total Billable Effort (pd)</t>
        </is>
      </c>
      <c r="B8">
        <f>WBS!S23</f>
        <v/>
      </c>
    </row>
    <row r="9">
      <c r="A9" t="inlineStr">
        <is>
          <t>Billable Ratio</t>
        </is>
      </c>
      <c r="B9">
        <f>B8/B7</f>
        <v/>
      </c>
    </row>
    <row r="10">
      <c r="A10" t="inlineStr">
        <is>
          <t>σ Total Duration</t>
        </is>
      </c>
      <c r="B10">
        <f>SQRT(SUMPRODUCT(K2:K4,K2:K4))</f>
        <v/>
      </c>
    </row>
    <row r="11">
      <c r="A11" t="inlineStr">
        <is>
          <t>CI 68% Lower</t>
        </is>
      </c>
      <c r="B11">
        <f>J5-B10</f>
        <v/>
      </c>
    </row>
    <row r="12">
      <c r="A12" t="inlineStr">
        <is>
          <t>CI 68% Upper</t>
        </is>
      </c>
      <c r="B12">
        <f>J5+B10</f>
        <v/>
      </c>
    </row>
    <row r="13">
      <c r="A13" t="inlineStr">
        <is>
          <t>CI 95% Lower</t>
        </is>
      </c>
      <c r="B13">
        <f>J5-2*B10</f>
        <v/>
      </c>
    </row>
    <row r="14">
      <c r="A14" t="inlineStr">
        <is>
          <t>CI 95% Upper</t>
        </is>
      </c>
      <c r="B14">
        <f>J5+2*B10</f>
        <v/>
      </c>
    </row>
    <row r="15">
      <c r="A15" t="inlineStr">
        <is>
          <t>Total Contingency</t>
        </is>
      </c>
      <c r="B15">
        <f>Risks!L7</f>
        <v/>
      </c>
    </row>
    <row r="16">
      <c r="A16" t="inlineStr">
        <is>
          <t>Management Reserve</t>
        </is>
      </c>
      <c r="B16">
        <f>Risks!L8</f>
        <v/>
      </c>
    </row>
    <row r="17">
      <c r="A17" t="inlineStr">
        <is>
          <t>Adjusted PERT Effort (pd)</t>
        </is>
      </c>
      <c r="B17">
        <f>B7+B15+B16</f>
        <v/>
      </c>
    </row>
    <row r="19">
      <c r="A19" s="16" t="inlineStr">
        <is>
          <t>Effort by Team</t>
        </is>
      </c>
    </row>
    <row r="20">
      <c r="A20" t="inlineStr">
        <is>
          <t>Management</t>
        </is>
      </c>
      <c r="B20">
        <f>Resources!G6</f>
        <v/>
      </c>
    </row>
    <row r="21">
      <c r="A21" t="inlineStr">
        <is>
          <t>Development</t>
        </is>
      </c>
      <c r="B21">
        <f>Resources!G11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2026-03-19T17:01:06Z</dcterms:created>
  <dcterms:modified xmlns:dcterms="http://purl.org/dc/terms/" xmlns:xsi="http://www.w3.org/2001/XMLSchema-instance" xsi:type="dcterms:W3CDTF">2026-03-19T17:01:06Z</dcterms:modified>
</cp:coreProperties>
</file>