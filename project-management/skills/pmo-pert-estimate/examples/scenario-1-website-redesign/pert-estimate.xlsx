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9C0006"/>
    </font>
    <font>
      <b val="1"/>
      <color rgb="FFFF0000"/>
    </font>
  </fonts>
  <fills count="7">
    <fill>
      <patternFill/>
    </fill>
    <fill>
      <patternFill patternType="gray125"/>
    </fill>
    <fill>
      <patternFill patternType="solid">
        <fgColor rgb="FF2E86AB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Discovery &amp; Design</t>
        </is>
      </c>
      <c r="C2" s="2" t="n"/>
      <c r="D2" s="2" t="n"/>
      <c r="E2" s="3">
        <f>SUM(E4,E5,E6,E8,E9,E10)</f>
        <v/>
      </c>
      <c r="F2" s="3">
        <f>SUM(F4,F5,F6,F8,F9,F10)</f>
        <v/>
      </c>
      <c r="G2" s="3">
        <f>SUM(G4,G5,G6,G8,G9,G10)</f>
        <v/>
      </c>
      <c r="H2" s="4">
        <f>(E2+4*F2+G2)/6</f>
        <v/>
      </c>
      <c r="I2" s="3">
        <f>SUM(I4,I5,I6,I8,I9,I10)</f>
        <v/>
      </c>
      <c r="J2" s="3">
        <f>SUM(J4,J5,J6,J8,J9,J10)</f>
        <v/>
      </c>
      <c r="K2" s="3">
        <f>SUM(K4,K5,K6,K8,K9,K10)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SUM(S4,S5,S6,S8,S9,S10)</f>
        <v/>
      </c>
    </row>
    <row r="3">
      <c r="A3" s="5" t="inlineStr">
        <is>
          <t>1.1</t>
        </is>
      </c>
      <c r="B3" s="5" t="n"/>
      <c r="C3" s="5" t="inlineStr">
        <is>
          <t>Discovery</t>
        </is>
      </c>
      <c r="D3" s="5" t="n"/>
      <c r="E3" s="6">
        <f>SUM(E4:E6)</f>
        <v/>
      </c>
      <c r="F3" s="6">
        <f>SUM(F4:F6)</f>
        <v/>
      </c>
      <c r="G3" s="6">
        <f>SUM(G4:G6)</f>
        <v/>
      </c>
      <c r="H3" s="7">
        <f>(E3+4*F3+G3)/6</f>
        <v/>
      </c>
      <c r="I3" s="6">
        <f>SUM(I4:I6)</f>
        <v/>
      </c>
      <c r="J3" s="6">
        <f>SUM(J4:J6)</f>
        <v/>
      </c>
      <c r="K3" s="6">
        <f>SUM(K4:K6)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SUM(S4:S6)</f>
        <v/>
      </c>
    </row>
    <row r="4">
      <c r="A4" s="8" t="inlineStr">
        <is>
          <t>1.1.1</t>
        </is>
      </c>
      <c r="B4" s="8" t="n"/>
      <c r="C4" s="8" t="n"/>
      <c r="D4" s="8" t="inlineStr">
        <is>
          <t>Stakeholder Workshops</t>
        </is>
      </c>
      <c r="E4" s="9" t="n">
        <v>2</v>
      </c>
      <c r="F4" s="9" t="n">
        <v>3</v>
      </c>
      <c r="G4" s="9" t="n">
        <v>4</v>
      </c>
      <c r="H4" s="10">
        <f>(E4+4*F4+G4)/6</f>
        <v/>
      </c>
      <c r="I4" s="9" t="n">
        <v>2</v>
      </c>
      <c r="J4" s="9" t="n">
        <v>3</v>
      </c>
      <c r="K4" s="9" t="n">
        <v>4</v>
      </c>
      <c r="L4" s="10">
        <f>(I4+4*J4+K4)/6</f>
        <v/>
      </c>
      <c r="M4" s="10">
        <f>(K4-I4)/6</f>
        <v/>
      </c>
      <c r="N4" s="8" t="inlineStr">
        <is>
          <t>DSG</t>
        </is>
      </c>
      <c r="O4" s="8" t="inlineStr"/>
      <c r="P4" s="8" t="inlineStr">
        <is>
          <t>R1</t>
        </is>
      </c>
      <c r="Q4" s="8" t="inlineStr">
        <is>
          <t>Two half-day workshops</t>
        </is>
      </c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Heuristic Evaluation</t>
        </is>
      </c>
      <c r="E5" s="9" t="n">
        <v>1</v>
      </c>
      <c r="F5" s="9" t="n">
        <v>2</v>
      </c>
      <c r="G5" s="9" t="n">
        <v>3</v>
      </c>
      <c r="H5" s="10">
        <f>(E5+4*F5+G5)/6</f>
        <v/>
      </c>
      <c r="I5" s="9" t="n">
        <v>1</v>
      </c>
      <c r="J5" s="9" t="n">
        <v>2</v>
      </c>
      <c r="K5" s="9" t="n">
        <v>3</v>
      </c>
      <c r="L5" s="10">
        <f>(I5+4*J5+K5)/6</f>
        <v/>
      </c>
      <c r="M5" s="10">
        <f>(K5-I5)/6</f>
        <v/>
      </c>
      <c r="N5" s="8" t="inlineStr">
        <is>
          <t>DSG</t>
        </is>
      </c>
      <c r="O5" s="8" t="inlineStr"/>
      <c r="P5" s="8" t="inlineStr"/>
      <c r="Q5" s="8" t="inlineStr">
        <is>
          <t>Usability, accessibility, SEO baseline</t>
        </is>
      </c>
      <c r="R5" s="8" t="inlineStr">
        <is>
          <t>Y</t>
        </is>
      </c>
      <c r="S5" s="10">
        <f>IF(R5="Y",H5,0)</f>
        <v/>
      </c>
    </row>
    <row r="6">
      <c r="A6" s="8" t="inlineStr">
        <is>
          <t>1.1.3</t>
        </is>
      </c>
      <c r="B6" s="8" t="n"/>
      <c r="C6" s="8" t="n"/>
      <c r="D6" s="8" t="inlineStr">
        <is>
          <t>Information Architecture</t>
        </is>
      </c>
      <c r="E6" s="9" t="n">
        <v>1</v>
      </c>
      <c r="F6" s="9" t="n">
        <v>2</v>
      </c>
      <c r="G6" s="9" t="n">
        <v>3</v>
      </c>
      <c r="H6" s="10">
        <f>(E6+4*F6+G6)/6</f>
        <v/>
      </c>
      <c r="I6" s="9" t="n">
        <v>1</v>
      </c>
      <c r="J6" s="9" t="n">
        <v>2</v>
      </c>
      <c r="K6" s="9" t="n">
        <v>3</v>
      </c>
      <c r="L6" s="10">
        <f>(I6+4*J6+K6)/6</f>
        <v/>
      </c>
      <c r="M6" s="10">
        <f>(K6-I6)/6</f>
        <v/>
      </c>
      <c r="N6" s="8" t="inlineStr">
        <is>
          <t>DSG</t>
        </is>
      </c>
      <c r="O6" s="8" t="inlineStr">
        <is>
          <t>1.1.1, 1.1.2</t>
        </is>
      </c>
      <c r="P6" s="8" t="inlineStr"/>
      <c r="Q6" s="8" t="inlineStr">
        <is>
          <t>Site map, navigation, URL structure</t>
        </is>
      </c>
      <c r="R6" s="8" t="inlineStr">
        <is>
          <t>Y</t>
        </is>
      </c>
      <c r="S6" s="10">
        <f>IF(R6="Y",H6,0)</f>
        <v/>
      </c>
    </row>
    <row r="7">
      <c r="A7" s="5" t="inlineStr">
        <is>
          <t>1.2</t>
        </is>
      </c>
      <c r="B7" s="5" t="n"/>
      <c r="C7" s="5" t="inlineStr">
        <is>
          <t>Design</t>
        </is>
      </c>
      <c r="D7" s="5" t="n"/>
      <c r="E7" s="6">
        <f>SUM(E8:E10)</f>
        <v/>
      </c>
      <c r="F7" s="6">
        <f>SUM(F8:F10)</f>
        <v/>
      </c>
      <c r="G7" s="6">
        <f>SUM(G8:G10)</f>
        <v/>
      </c>
      <c r="H7" s="7">
        <f>(E7+4*F7+G7)/6</f>
        <v/>
      </c>
      <c r="I7" s="6">
        <f>SUM(I8:I10)</f>
        <v/>
      </c>
      <c r="J7" s="6">
        <f>SUM(J8:J10)</f>
        <v/>
      </c>
      <c r="K7" s="6">
        <f>SUM(K8:K10)</f>
        <v/>
      </c>
      <c r="L7" s="7">
        <f>(I7+4*J7+K7)/6</f>
        <v/>
      </c>
      <c r="M7" s="7">
        <f>(K7-I7)/6</f>
        <v/>
      </c>
      <c r="N7" s="5" t="n"/>
      <c r="O7" s="5" t="n"/>
      <c r="P7" s="5" t="n"/>
      <c r="Q7" s="5" t="n"/>
      <c r="R7" s="5" t="n"/>
      <c r="S7" s="7">
        <f>SUM(S8:S10)</f>
        <v/>
      </c>
    </row>
    <row r="8">
      <c r="A8" s="8" t="inlineStr">
        <is>
          <t>1.2.1</t>
        </is>
      </c>
      <c r="B8" s="8" t="n"/>
      <c r="C8" s="8" t="n"/>
      <c r="D8" s="8" t="inlineStr">
        <is>
          <t>Wireframes</t>
        </is>
      </c>
      <c r="E8" s="9" t="n">
        <v>2</v>
      </c>
      <c r="F8" s="9" t="n">
        <v>3</v>
      </c>
      <c r="G8" s="9" t="n">
        <v>5</v>
      </c>
      <c r="H8" s="10">
        <f>(E8+4*F8+G8)/6</f>
        <v/>
      </c>
      <c r="I8" s="9" t="n">
        <v>2</v>
      </c>
      <c r="J8" s="9" t="n">
        <v>3</v>
      </c>
      <c r="K8" s="9" t="n">
        <v>5</v>
      </c>
      <c r="L8" s="10">
        <f>(I8+4*J8+K8)/6</f>
        <v/>
      </c>
      <c r="M8" s="10">
        <f>(K8-I8)/6</f>
        <v/>
      </c>
      <c r="N8" s="8" t="inlineStr">
        <is>
          <t>DSG</t>
        </is>
      </c>
      <c r="O8" s="8" t="inlineStr">
        <is>
          <t>1.1.3</t>
        </is>
      </c>
      <c r="P8" s="8" t="inlineStr"/>
      <c r="Q8" s="8" t="inlineStr">
        <is>
          <t>8 page templates</t>
        </is>
      </c>
      <c r="R8" s="8" t="inlineStr">
        <is>
          <t>Y</t>
        </is>
      </c>
      <c r="S8" s="10">
        <f>IF(R8="Y",H8,0)</f>
        <v/>
      </c>
    </row>
    <row r="9">
      <c r="A9" s="8" t="inlineStr">
        <is>
          <t>1.2.2</t>
        </is>
      </c>
      <c r="B9" s="8" t="n"/>
      <c r="C9" s="8" t="n"/>
      <c r="D9" s="8" t="inlineStr">
        <is>
          <t>High-Fidelity Mockups</t>
        </is>
      </c>
      <c r="E9" s="9" t="n">
        <v>3</v>
      </c>
      <c r="F9" s="9" t="n">
        <v>5</v>
      </c>
      <c r="G9" s="9" t="n">
        <v>8</v>
      </c>
      <c r="H9" s="10">
        <f>(E9+4*F9+G9)/6</f>
        <v/>
      </c>
      <c r="I9" s="9" t="n">
        <v>3</v>
      </c>
      <c r="J9" s="9" t="n">
        <v>5</v>
      </c>
      <c r="K9" s="9" t="n">
        <v>8</v>
      </c>
      <c r="L9" s="10">
        <f>(I9+4*J9+K9)/6</f>
        <v/>
      </c>
      <c r="M9" s="10">
        <f>(K9-I9)/6</f>
        <v/>
      </c>
      <c r="N9" s="8" t="inlineStr">
        <is>
          <t>DSG</t>
        </is>
      </c>
      <c r="O9" s="8" t="inlineStr">
        <is>
          <t>1.2.1</t>
        </is>
      </c>
      <c r="P9" s="8" t="inlineStr">
        <is>
          <t>R1</t>
        </is>
      </c>
      <c r="Q9" s="8" t="inlineStr">
        <is>
          <t>Desktop and mobile breakpoints</t>
        </is>
      </c>
      <c r="R9" s="8" t="inlineStr">
        <is>
          <t>Y</t>
        </is>
      </c>
      <c r="S9" s="10">
        <f>IF(R9="Y",H9,0)</f>
        <v/>
      </c>
    </row>
    <row r="10">
      <c r="A10" s="8" t="inlineStr">
        <is>
          <t>1.2.3</t>
        </is>
      </c>
      <c r="B10" s="8" t="n"/>
      <c r="C10" s="8" t="n"/>
      <c r="D10" s="8" t="inlineStr">
        <is>
          <t>Design Review &amp; Sign-off</t>
        </is>
      </c>
      <c r="E10" s="9" t="n">
        <v>1</v>
      </c>
      <c r="F10" s="9" t="n">
        <v>2</v>
      </c>
      <c r="G10" s="9" t="n">
        <v>4</v>
      </c>
      <c r="H10" s="10">
        <f>(E10+4*F10+G10)/6</f>
        <v/>
      </c>
      <c r="I10" s="9" t="n">
        <v>1</v>
      </c>
      <c r="J10" s="9" t="n">
        <v>2</v>
      </c>
      <c r="K10" s="9" t="n">
        <v>4</v>
      </c>
      <c r="L10" s="10">
        <f>(I10+4*J10+K10)/6</f>
        <v/>
      </c>
      <c r="M10" s="10">
        <f>(K10-I10)/6</f>
        <v/>
      </c>
      <c r="N10" s="8" t="inlineStr">
        <is>
          <t>DSG</t>
        </is>
      </c>
      <c r="O10" s="8" t="inlineStr">
        <is>
          <t>1.2.2</t>
        </is>
      </c>
      <c r="P10" s="8" t="inlineStr">
        <is>
          <t>R1</t>
        </is>
      </c>
      <c r="Q10" s="8" t="inlineStr">
        <is>
          <t>Two rounds of feedback</t>
        </is>
      </c>
      <c r="R10" s="8" t="inlineStr">
        <is>
          <t>Y</t>
        </is>
      </c>
      <c r="S10" s="10">
        <f>IF(R10="Y",H10,0)</f>
        <v/>
      </c>
    </row>
    <row r="11">
      <c r="A11" s="2" t="inlineStr">
        <is>
          <t>2</t>
        </is>
      </c>
      <c r="B11" s="2" t="inlineStr">
        <is>
          <t>Development</t>
        </is>
      </c>
      <c r="C11" s="2" t="n"/>
      <c r="D11" s="2" t="n"/>
      <c r="E11" s="3">
        <f>SUM(E13,E14,E16,E17)</f>
        <v/>
      </c>
      <c r="F11" s="3">
        <f>SUM(F13,F14,F16,F17)</f>
        <v/>
      </c>
      <c r="G11" s="3">
        <f>SUM(G13,G14,G16,G17)</f>
        <v/>
      </c>
      <c r="H11" s="4">
        <f>(E11+4*F11+G11)/6</f>
        <v/>
      </c>
      <c r="I11" s="3">
        <f>SUM(I13,I14,I16,I17)</f>
        <v/>
      </c>
      <c r="J11" s="3">
        <f>SUM(J13,J14,J16,J17)</f>
        <v/>
      </c>
      <c r="K11" s="3">
        <f>SUM(K13,K14,K16,K17)</f>
        <v/>
      </c>
      <c r="L11" s="4">
        <f>(I11+4*J11+K11)/6</f>
        <v/>
      </c>
      <c r="M11" s="4">
        <f>(K11-I11)/6</f>
        <v/>
      </c>
      <c r="N11" s="2" t="n"/>
      <c r="O11" s="2" t="n"/>
      <c r="P11" s="2" t="n"/>
      <c r="Q11" s="2" t="n"/>
      <c r="R11" s="2" t="n"/>
      <c r="S11" s="4">
        <f>SUM(S13,S14,S16,S17)</f>
        <v/>
      </c>
    </row>
    <row r="12">
      <c r="A12" s="5" t="inlineStr">
        <is>
          <t>2.1</t>
        </is>
      </c>
      <c r="B12" s="5" t="n"/>
      <c r="C12" s="5" t="inlineStr">
        <is>
          <t>CMS &amp; Templates</t>
        </is>
      </c>
      <c r="D12" s="5" t="n"/>
      <c r="E12" s="6">
        <f>SUM(E13:E14)</f>
        <v/>
      </c>
      <c r="F12" s="6">
        <f>SUM(F13:F14)</f>
        <v/>
      </c>
      <c r="G12" s="6">
        <f>SUM(G13:G14)</f>
        <v/>
      </c>
      <c r="H12" s="7">
        <f>(E12+4*F12+G12)/6</f>
        <v/>
      </c>
      <c r="I12" s="6">
        <f>SUM(I13:I14)</f>
        <v/>
      </c>
      <c r="J12" s="6">
        <f>SUM(J13:J14)</f>
        <v/>
      </c>
      <c r="K12" s="6">
        <f>SUM(K13:K14)</f>
        <v/>
      </c>
      <c r="L12" s="7">
        <f>(I12+4*J12+K12)/6</f>
        <v/>
      </c>
      <c r="M12" s="7">
        <f>(K12-I12)/6</f>
        <v/>
      </c>
      <c r="N12" s="5" t="n"/>
      <c r="O12" s="5" t="n"/>
      <c r="P12" s="5" t="n"/>
      <c r="Q12" s="5" t="n"/>
      <c r="R12" s="5" t="n"/>
      <c r="S12" s="7">
        <f>SUM(S13:S14)</f>
        <v/>
      </c>
    </row>
    <row r="13">
      <c r="A13" s="8" t="inlineStr">
        <is>
          <t>2.1.1</t>
        </is>
      </c>
      <c r="B13" s="8" t="n"/>
      <c r="C13" s="8" t="n"/>
      <c r="D13" s="8" t="inlineStr">
        <is>
          <t>CMS Setup &amp; Theme Bootstrap</t>
        </is>
      </c>
      <c r="E13" s="9" t="n">
        <v>1</v>
      </c>
      <c r="F13" s="9" t="n">
        <v>2</v>
      </c>
      <c r="G13" s="9" t="n">
        <v>3</v>
      </c>
      <c r="H13" s="10">
        <f>(E13+4*F13+G13)/6</f>
        <v/>
      </c>
      <c r="I13" s="9" t="n">
        <v>1</v>
      </c>
      <c r="J13" s="9" t="n">
        <v>2</v>
      </c>
      <c r="K13" s="9" t="n">
        <v>3</v>
      </c>
      <c r="L13" s="10">
        <f>(I13+4*J13+K13)/6</f>
        <v/>
      </c>
      <c r="M13" s="10">
        <f>(K13-I13)/6</f>
        <v/>
      </c>
      <c r="N13" s="8" t="inlineStr">
        <is>
          <t>DEV</t>
        </is>
      </c>
      <c r="O13" s="8" t="inlineStr">
        <is>
          <t>1.2.3</t>
        </is>
      </c>
      <c r="P13" s="8" t="inlineStr"/>
      <c r="Q13" s="8" t="inlineStr">
        <is>
          <t>WordPress, Elementor Pro, base theme</t>
        </is>
      </c>
      <c r="R13" s="8" t="inlineStr">
        <is>
          <t>Y</t>
        </is>
      </c>
      <c r="S13" s="10">
        <f>IF(R13="Y",H13,0)</f>
        <v/>
      </c>
    </row>
    <row r="14">
      <c r="A14" s="8" t="inlineStr">
        <is>
          <t>2.1.2</t>
        </is>
      </c>
      <c r="B14" s="8" t="n"/>
      <c r="C14" s="8" t="n"/>
      <c r="D14" s="8" t="inlineStr">
        <is>
          <t>Template Development</t>
        </is>
      </c>
      <c r="E14" s="9" t="n">
        <v>5</v>
      </c>
      <c r="F14" s="9" t="n">
        <v>8</v>
      </c>
      <c r="G14" s="9" t="n">
        <v>12</v>
      </c>
      <c r="H14" s="10">
        <f>(E14+4*F14+G14)/6</f>
        <v/>
      </c>
      <c r="I14" s="9" t="n">
        <v>5</v>
      </c>
      <c r="J14" s="9" t="n">
        <v>8</v>
      </c>
      <c r="K14" s="9" t="n">
        <v>12</v>
      </c>
      <c r="L14" s="10">
        <f>(I14+4*J14+K14)/6</f>
        <v/>
      </c>
      <c r="M14" s="10">
        <f>(K14-I14)/6</f>
        <v/>
      </c>
      <c r="N14" s="8" t="inlineStr">
        <is>
          <t>DEV</t>
        </is>
      </c>
      <c r="O14" s="8" t="inlineStr">
        <is>
          <t>2.1.1</t>
        </is>
      </c>
      <c r="P14" s="8" t="inlineStr"/>
      <c r="Q14" s="8" t="inlineStr">
        <is>
          <t>8 reusable Elementor page layouts</t>
        </is>
      </c>
      <c r="R14" s="8" t="inlineStr">
        <is>
          <t>Y</t>
        </is>
      </c>
      <c r="S14" s="10">
        <f>IF(R14="Y",H14,0)</f>
        <v/>
      </c>
    </row>
    <row r="15">
      <c r="A15" s="5" t="inlineStr">
        <is>
          <t>2.2</t>
        </is>
      </c>
      <c r="B15" s="5" t="n"/>
      <c r="C15" s="5" t="inlineStr">
        <is>
          <t>Migration &amp; Integrations</t>
        </is>
      </c>
      <c r="D15" s="5" t="n"/>
      <c r="E15" s="6">
        <f>SUM(E16:E17)</f>
        <v/>
      </c>
      <c r="F15" s="6">
        <f>SUM(F16:F17)</f>
        <v/>
      </c>
      <c r="G15" s="6">
        <f>SUM(G16:G17)</f>
        <v/>
      </c>
      <c r="H15" s="7">
        <f>(E15+4*F15+G15)/6</f>
        <v/>
      </c>
      <c r="I15" s="6">
        <f>SUM(I16:I17)</f>
        <v/>
      </c>
      <c r="J15" s="6">
        <f>SUM(J16:J17)</f>
        <v/>
      </c>
      <c r="K15" s="6">
        <f>SUM(K16:K17)</f>
        <v/>
      </c>
      <c r="L15" s="7">
        <f>(I15+4*J15+K15)/6</f>
        <v/>
      </c>
      <c r="M15" s="7">
        <f>(K15-I15)/6</f>
        <v/>
      </c>
      <c r="N15" s="5" t="n"/>
      <c r="O15" s="5" t="n"/>
      <c r="P15" s="5" t="n"/>
      <c r="Q15" s="5" t="n"/>
      <c r="R15" s="5" t="n"/>
      <c r="S15" s="7">
        <f>SUM(S16:S17)</f>
        <v/>
      </c>
    </row>
    <row r="16">
      <c r="A16" s="8" t="inlineStr">
        <is>
          <t>2.2.1</t>
        </is>
      </c>
      <c r="B16" s="8" t="n"/>
      <c r="C16" s="8" t="n"/>
      <c r="D16" s="8" t="inlineStr">
        <is>
          <t>Content Migration</t>
        </is>
      </c>
      <c r="E16" s="9" t="n">
        <v>3</v>
      </c>
      <c r="F16" s="9" t="n">
        <v>5</v>
      </c>
      <c r="G16" s="9" t="n">
        <v>9</v>
      </c>
      <c r="H16" s="10">
        <f>(E16+4*F16+G16)/6</f>
        <v/>
      </c>
      <c r="I16" s="9" t="n">
        <v>3</v>
      </c>
      <c r="J16" s="9" t="n">
        <v>5</v>
      </c>
      <c r="K16" s="9" t="n">
        <v>9</v>
      </c>
      <c r="L16" s="10">
        <f>(I16+4*J16+K16)/6</f>
        <v/>
      </c>
      <c r="M16" s="10">
        <f>(K16-I16)/6</f>
        <v/>
      </c>
      <c r="N16" s="8" t="inlineStr">
        <is>
          <t>DEV</t>
        </is>
      </c>
      <c r="O16" s="8" t="inlineStr">
        <is>
          <t>2.1.2</t>
        </is>
      </c>
      <c r="P16" s="8" t="inlineStr">
        <is>
          <t>R2</t>
        </is>
      </c>
      <c r="Q16" s="8" t="inlineStr">
        <is>
          <t>40 pages, 301 redirects</t>
        </is>
      </c>
      <c r="R16" s="8" t="inlineStr">
        <is>
          <t>Y</t>
        </is>
      </c>
      <c r="S16" s="10">
        <f>IF(R16="Y",H16,0)</f>
        <v/>
      </c>
    </row>
    <row r="17">
      <c r="A17" s="8" t="inlineStr">
        <is>
          <t>2.2.2</t>
        </is>
      </c>
      <c r="B17" s="8" t="n"/>
      <c r="C17" s="8" t="n"/>
      <c r="D17" s="8" t="inlineStr">
        <is>
          <t>Integrations</t>
        </is>
      </c>
      <c r="E17" s="9" t="n">
        <v>2</v>
      </c>
      <c r="F17" s="9" t="n">
        <v>3</v>
      </c>
      <c r="G17" s="9" t="n">
        <v>5</v>
      </c>
      <c r="H17" s="10">
        <f>(E17+4*F17+G17)/6</f>
        <v/>
      </c>
      <c r="I17" s="9" t="n">
        <v>2</v>
      </c>
      <c r="J17" s="9" t="n">
        <v>3</v>
      </c>
      <c r="K17" s="9" t="n">
        <v>5</v>
      </c>
      <c r="L17" s="10">
        <f>(I17+4*J17+K17)/6</f>
        <v/>
      </c>
      <c r="M17" s="10">
        <f>(K17-I17)/6</f>
        <v/>
      </c>
      <c r="N17" s="8" t="inlineStr">
        <is>
          <t>DEV</t>
        </is>
      </c>
      <c r="O17" s="8" t="inlineStr">
        <is>
          <t>2.1.2</t>
        </is>
      </c>
      <c r="P17" s="8" t="inlineStr">
        <is>
          <t>R3</t>
        </is>
      </c>
      <c r="Q17" s="8" t="inlineStr">
        <is>
          <t>CRM, GA4, cookie consent</t>
        </is>
      </c>
      <c r="R17" s="8" t="inlineStr">
        <is>
          <t>Y</t>
        </is>
      </c>
      <c r="S17" s="10">
        <f>IF(R17="Y",H17,0)</f>
        <v/>
      </c>
    </row>
    <row r="18">
      <c r="A18" s="2" t="inlineStr">
        <is>
          <t>3</t>
        </is>
      </c>
      <c r="B18" s="2" t="inlineStr">
        <is>
          <t>Testing &amp; Launch</t>
        </is>
      </c>
      <c r="C18" s="2" t="n"/>
      <c r="D18" s="2" t="n"/>
      <c r="E18" s="3">
        <f>SUM(E20,E21,E23)</f>
        <v/>
      </c>
      <c r="F18" s="3">
        <f>SUM(F20,F21,F23)</f>
        <v/>
      </c>
      <c r="G18" s="3">
        <f>SUM(G20,G21,G23)</f>
        <v/>
      </c>
      <c r="H18" s="4">
        <f>(E18+4*F18+G18)/6</f>
        <v/>
      </c>
      <c r="I18" s="3">
        <f>SUM(I20,I21,I23)</f>
        <v/>
      </c>
      <c r="J18" s="3">
        <f>SUM(J20,J21,J23)</f>
        <v/>
      </c>
      <c r="K18" s="3">
        <f>SUM(K20,K21,K23)</f>
        <v/>
      </c>
      <c r="L18" s="4">
        <f>(I18+4*J18+K18)/6</f>
        <v/>
      </c>
      <c r="M18" s="4">
        <f>(K18-I18)/6</f>
        <v/>
      </c>
      <c r="N18" s="2" t="n"/>
      <c r="O18" s="2" t="n"/>
      <c r="P18" s="2" t="n"/>
      <c r="Q18" s="2" t="n"/>
      <c r="R18" s="2" t="n"/>
      <c r="S18" s="4">
        <f>SUM(S20,S21,S23)</f>
        <v/>
      </c>
    </row>
    <row r="19">
      <c r="A19" s="5" t="inlineStr">
        <is>
          <t>3.1</t>
        </is>
      </c>
      <c r="B19" s="5" t="n"/>
      <c r="C19" s="5" t="inlineStr">
        <is>
          <t>Quality Assurance</t>
        </is>
      </c>
      <c r="D19" s="5" t="n"/>
      <c r="E19" s="6">
        <f>SUM(E20:E21)</f>
        <v/>
      </c>
      <c r="F19" s="6">
        <f>SUM(F20:F21)</f>
        <v/>
      </c>
      <c r="G19" s="6">
        <f>SUM(G20:G21)</f>
        <v/>
      </c>
      <c r="H19" s="7">
        <f>(E19+4*F19+G19)/6</f>
        <v/>
      </c>
      <c r="I19" s="6">
        <f>SUM(I20:I21)</f>
        <v/>
      </c>
      <c r="J19" s="6">
        <f>SUM(J20:J21)</f>
        <v/>
      </c>
      <c r="K19" s="6">
        <f>SUM(K20:K21)</f>
        <v/>
      </c>
      <c r="L19" s="7">
        <f>(I19+4*J19+K19)/6</f>
        <v/>
      </c>
      <c r="M19" s="7">
        <f>(K19-I19)/6</f>
        <v/>
      </c>
      <c r="N19" s="5" t="n"/>
      <c r="O19" s="5" t="n"/>
      <c r="P19" s="5" t="n"/>
      <c r="Q19" s="5" t="n"/>
      <c r="R19" s="5" t="n"/>
      <c r="S19" s="7">
        <f>SUM(S20:S21)</f>
        <v/>
      </c>
    </row>
    <row r="20">
      <c r="A20" s="8" t="inlineStr">
        <is>
          <t>3.1.1</t>
        </is>
      </c>
      <c r="B20" s="8" t="n"/>
      <c r="C20" s="8" t="n"/>
      <c r="D20" s="8" t="inlineStr">
        <is>
          <t>QA &amp; Accessibility Audit</t>
        </is>
      </c>
      <c r="E20" s="9" t="n">
        <v>2</v>
      </c>
      <c r="F20" s="9" t="n">
        <v>3</v>
      </c>
      <c r="G20" s="9" t="n">
        <v>5</v>
      </c>
      <c r="H20" s="10">
        <f>(E20+4*F20+G20)/6</f>
        <v/>
      </c>
      <c r="I20" s="9" t="n">
        <v>2</v>
      </c>
      <c r="J20" s="9" t="n">
        <v>3</v>
      </c>
      <c r="K20" s="9" t="n">
        <v>5</v>
      </c>
      <c r="L20" s="10">
        <f>(I20+4*J20+K20)/6</f>
        <v/>
      </c>
      <c r="M20" s="10">
        <f>(K20-I20)/6</f>
        <v/>
      </c>
      <c r="N20" s="8" t="inlineStr">
        <is>
          <t>DEV, DSG</t>
        </is>
      </c>
      <c r="O20" s="8" t="inlineStr">
        <is>
          <t>2.2.1, 2.2.2</t>
        </is>
      </c>
      <c r="P20" s="8" t="inlineStr"/>
      <c r="Q20" s="8" t="inlineStr">
        <is>
          <t>Cross-browser + WCAG 2.1 AA</t>
        </is>
      </c>
      <c r="R20" s="8" t="inlineStr">
        <is>
          <t>Y</t>
        </is>
      </c>
      <c r="S20" s="10">
        <f>IF(R20="Y",H20,0)</f>
        <v/>
      </c>
    </row>
    <row r="21">
      <c r="A21" s="8" t="inlineStr">
        <is>
          <t>3.1.2</t>
        </is>
      </c>
      <c r="B21" s="8" t="n"/>
      <c r="C21" s="8" t="n"/>
      <c r="D21" s="8" t="inlineStr">
        <is>
          <t>Client UAT</t>
        </is>
      </c>
      <c r="E21" s="9" t="n">
        <v>1</v>
      </c>
      <c r="F21" s="9" t="n">
        <v>2</v>
      </c>
      <c r="G21" s="9" t="n">
        <v>3</v>
      </c>
      <c r="H21" s="10">
        <f>(E21+4*F21+G21)/6</f>
        <v/>
      </c>
      <c r="I21" s="9" t="n">
        <v>1</v>
      </c>
      <c r="J21" s="9" t="n">
        <v>2</v>
      </c>
      <c r="K21" s="9" t="n">
        <v>3</v>
      </c>
      <c r="L21" s="10">
        <f>(I21+4*J21+K21)/6</f>
        <v/>
      </c>
      <c r="M21" s="10">
        <f>(K21-I21)/6</f>
        <v/>
      </c>
      <c r="N21" s="8" t="inlineStr">
        <is>
          <t>DSG</t>
        </is>
      </c>
      <c r="O21" s="8" t="inlineStr">
        <is>
          <t>3.1.1</t>
        </is>
      </c>
      <c r="P21" s="8" t="inlineStr">
        <is>
          <t>R1</t>
        </is>
      </c>
      <c r="Q21" s="8" t="inlineStr">
        <is>
          <t>Guided session + defect resolution</t>
        </is>
      </c>
      <c r="R21" s="8" t="inlineStr">
        <is>
          <t>Y</t>
        </is>
      </c>
      <c r="S21" s="10">
        <f>IF(R21="Y",H21,0)</f>
        <v/>
      </c>
    </row>
    <row r="22">
      <c r="A22" s="5" t="inlineStr">
        <is>
          <t>3.2</t>
        </is>
      </c>
      <c r="B22" s="5" t="n"/>
      <c r="C22" s="5" t="inlineStr">
        <is>
          <t>Launch</t>
        </is>
      </c>
      <c r="D22" s="5" t="n"/>
      <c r="E22" s="6">
        <f>SUM(E23:E23)</f>
        <v/>
      </c>
      <c r="F22" s="6">
        <f>SUM(F23:F23)</f>
        <v/>
      </c>
      <c r="G22" s="6">
        <f>SUM(G23:G23)</f>
        <v/>
      </c>
      <c r="H22" s="7">
        <f>(E22+4*F22+G22)/6</f>
        <v/>
      </c>
      <c r="I22" s="6">
        <f>SUM(I23:I23)</f>
        <v/>
      </c>
      <c r="J22" s="6">
        <f>SUM(J23:J23)</f>
        <v/>
      </c>
      <c r="K22" s="6">
        <f>SUM(K23:K23)</f>
        <v/>
      </c>
      <c r="L22" s="7">
        <f>(I22+4*J22+K22)/6</f>
        <v/>
      </c>
      <c r="M22" s="7">
        <f>(K22-I22)/6</f>
        <v/>
      </c>
      <c r="N22" s="5" t="n"/>
      <c r="O22" s="5" t="n"/>
      <c r="P22" s="5" t="n"/>
      <c r="Q22" s="5" t="n"/>
      <c r="R22" s="5" t="n"/>
      <c r="S22" s="7">
        <f>SUM(S23:S23)</f>
        <v/>
      </c>
    </row>
    <row r="23">
      <c r="A23" s="8" t="inlineStr">
        <is>
          <t>3.2.1</t>
        </is>
      </c>
      <c r="B23" s="8" t="n"/>
      <c r="C23" s="8" t="n"/>
      <c r="D23" s="8" t="inlineStr">
        <is>
          <t>Launch &amp; Cutover</t>
        </is>
      </c>
      <c r="E23" s="9" t="n">
        <v>1</v>
      </c>
      <c r="F23" s="9" t="n">
        <v>1</v>
      </c>
      <c r="G23" s="9" t="n">
        <v>2</v>
      </c>
      <c r="H23" s="10">
        <f>(E23+4*F23+G23)/6</f>
        <v/>
      </c>
      <c r="I23" s="9" t="n">
        <v>1</v>
      </c>
      <c r="J23" s="9" t="n">
        <v>1</v>
      </c>
      <c r="K23" s="9" t="n">
        <v>2</v>
      </c>
      <c r="L23" s="10">
        <f>(I23+4*J23+K23)/6</f>
        <v/>
      </c>
      <c r="M23" s="10">
        <f>(K23-I23)/6</f>
        <v/>
      </c>
      <c r="N23" s="8" t="inlineStr">
        <is>
          <t>DEV</t>
        </is>
      </c>
      <c r="O23" s="8" t="inlineStr">
        <is>
          <t>3.1.2</t>
        </is>
      </c>
      <c r="P23" s="8" t="inlineStr"/>
      <c r="Q23" s="8" t="inlineStr">
        <is>
          <t>DNS cutover, SSL, smoke test, 48h monitoring</t>
        </is>
      </c>
      <c r="R23" s="8" t="inlineStr">
        <is>
          <t>Y</t>
        </is>
      </c>
      <c r="S23" s="10">
        <f>IF(R23="Y",H23,0)</f>
        <v/>
      </c>
    </row>
    <row r="24">
      <c r="A24" s="11" t="inlineStr">
        <is>
          <t>TOTAL</t>
        </is>
      </c>
      <c r="B24" s="11" t="n"/>
      <c r="C24" s="11" t="n"/>
      <c r="D24" s="11" t="n"/>
      <c r="E24" s="12">
        <f>SUM(E2,E11,E18)</f>
        <v/>
      </c>
      <c r="F24" s="12">
        <f>SUM(F2,F11,F18)</f>
        <v/>
      </c>
      <c r="G24" s="12">
        <f>SUM(G2,G11,G18)</f>
        <v/>
      </c>
      <c r="H24" s="13">
        <f>SUM(H2,H11,H18)</f>
        <v/>
      </c>
      <c r="I24" s="12">
        <f>SUM(I2,I11,I18)</f>
        <v/>
      </c>
      <c r="J24" s="12">
        <f>SUM(J2,J11,J18)</f>
        <v/>
      </c>
      <c r="K24" s="12">
        <f>SUM(K2,K11,K18)</f>
        <v/>
      </c>
      <c r="L24" s="13">
        <f>SUM(L2,L11,L18)</f>
        <v/>
      </c>
      <c r="M24" s="13">
        <f>SUM(M2,M11,M18)</f>
        <v/>
      </c>
      <c r="N24" s="11" t="n"/>
      <c r="O24" s="11" t="n"/>
      <c r="P24" s="11" t="n"/>
      <c r="Q24" s="11" t="n"/>
      <c r="R24" s="11" t="n"/>
      <c r="S24" s="13">
        <f>SUM(S2,S11,S18)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2026-05-04</t>
        </is>
      </c>
      <c r="E2" s="15" t="inlineStr">
        <is>
          <t>2026-05-11</t>
        </is>
      </c>
      <c r="F2" s="15" t="inlineStr">
        <is>
          <t>2026-05-18</t>
        </is>
      </c>
      <c r="G2" s="15" t="inlineStr">
        <is>
          <t>2026-05-25</t>
        </is>
      </c>
      <c r="H2" s="15" t="inlineStr">
        <is>
          <t>2026-06-01</t>
        </is>
      </c>
      <c r="I2" s="15" t="inlineStr">
        <is>
          <t>2026-06-08</t>
        </is>
      </c>
      <c r="J2" s="15" t="inlineStr">
        <is>
          <t>2026-06-15</t>
        </is>
      </c>
      <c r="K2" s="15" t="inlineStr">
        <is>
          <t>2026-06-22</t>
        </is>
      </c>
    </row>
    <row r="3">
      <c r="A3" t="inlineStr">
        <is>
          <t>Developer</t>
        </is>
      </c>
      <c r="B3" t="inlineStr">
        <is>
          <t>DEV</t>
        </is>
      </c>
      <c r="C3" t="inlineStr">
        <is>
          <t>billable</t>
        </is>
      </c>
      <c r="D3" s="16" t="n">
        <v>0</v>
      </c>
      <c r="E3" s="16" t="n">
        <v>0</v>
      </c>
      <c r="F3" s="16" t="n">
        <v>0</v>
      </c>
      <c r="G3" s="17" t="n">
        <v>6.22</v>
      </c>
      <c r="H3" s="17" t="n">
        <v>6.22</v>
      </c>
      <c r="I3" s="17" t="n">
        <v>6.22</v>
      </c>
      <c r="J3" s="16" t="n">
        <v>2.17</v>
      </c>
      <c r="K3" s="16" t="n">
        <v>2.17</v>
      </c>
      <c r="L3" s="18">
        <f>SUM(D3:K3)</f>
        <v/>
      </c>
    </row>
    <row r="4">
      <c r="A4" t="inlineStr">
        <is>
          <t>Designer</t>
        </is>
      </c>
      <c r="B4" t="inlineStr">
        <is>
          <t>DSG</t>
        </is>
      </c>
      <c r="C4" t="inlineStr">
        <is>
          <t>billable</t>
        </is>
      </c>
      <c r="D4" s="17" t="n">
        <v>5.83</v>
      </c>
      <c r="E4" s="17" t="n">
        <v>5.83</v>
      </c>
      <c r="F4" s="17" t="n">
        <v>5.83</v>
      </c>
      <c r="G4" s="16" t="n">
        <v>0</v>
      </c>
      <c r="H4" s="16" t="n">
        <v>0</v>
      </c>
      <c r="I4" s="16" t="n">
        <v>0</v>
      </c>
      <c r="J4" s="16" t="n">
        <v>1</v>
      </c>
      <c r="K4" s="16" t="n">
        <v>1</v>
      </c>
      <c r="L4" s="18">
        <f>SUM(D4:K4)</f>
        <v/>
      </c>
    </row>
    <row r="5">
      <c r="A5" s="11" t="inlineStr">
        <is>
          <t>Weekly TOTAL</t>
        </is>
      </c>
      <c r="D5" s="12">
        <f>SUM(D3:D4)</f>
        <v/>
      </c>
      <c r="E5" s="12">
        <f>SUM(E3:E4)</f>
        <v/>
      </c>
      <c r="F5" s="12">
        <f>SUM(F3:F4)</f>
        <v/>
      </c>
      <c r="G5" s="12">
        <f>SUM(G3:G4)</f>
        <v/>
      </c>
      <c r="H5" s="12">
        <f>SUM(H3:H4)</f>
        <v/>
      </c>
      <c r="I5" s="12">
        <f>SUM(I3:I4)</f>
        <v/>
      </c>
      <c r="J5" s="12">
        <f>SUM(J3:J4)</f>
        <v/>
      </c>
      <c r="K5" s="12">
        <f>SUM(K3:K4)</f>
        <v/>
      </c>
      <c r="L5" s="12">
        <f>SUM(D5:K5)</f>
        <v/>
      </c>
    </row>
    <row r="7">
      <c r="A7" s="19" t="inlineStr">
        <is>
          <t>Capacity Warnings</t>
        </is>
      </c>
    </row>
    <row r="8">
      <c r="A8" t="inlineStr">
        <is>
          <t>Overcommit: W4 (DEV) (6.2 PD vs 5.0 PD capacity)</t>
        </is>
      </c>
    </row>
    <row r="9">
      <c r="A9" t="inlineStr">
        <is>
          <t>Overcommit: W5 (DEV) (6.2 PD vs 5.0 PD capacity)</t>
        </is>
      </c>
    </row>
    <row r="10">
      <c r="A10" t="inlineStr">
        <is>
          <t>Overcommit: W6 (DEV) (6.2 PD vs 5.0 PD capacity)</t>
        </is>
      </c>
    </row>
    <row r="11">
      <c r="A11" t="inlineStr">
        <is>
          <t>Overcommit: W1 (DSG) (5.8 PD vs 5.0 PD capacity)</t>
        </is>
      </c>
    </row>
    <row r="12">
      <c r="A12" t="inlineStr">
        <is>
          <t>Overcommit: W2 (DSG) (5.8 PD vs 5.0 PD capacity)</t>
        </is>
      </c>
    </row>
    <row r="13">
      <c r="A13" t="inlineStr">
        <is>
          <t>Overcommit: W3 (DSG) (5.8 PD vs 5.0 PD capacity)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s="20" t="inlineStr">
        <is>
          <t>R1</t>
        </is>
      </c>
      <c r="B2" s="20" t="inlineStr">
        <is>
          <t>Client delays sign-off on mockups, blocking development start</t>
        </is>
      </c>
      <c r="C2" s="20" t="inlineStr">
        <is>
          <t>Organisational</t>
        </is>
      </c>
      <c r="D2" s="20" t="inlineStr">
        <is>
          <t>1, 2</t>
        </is>
      </c>
      <c r="E2" s="20" t="n">
        <v>3</v>
      </c>
      <c r="F2" s="20" t="n">
        <v>4</v>
      </c>
      <c r="G2" s="20">
        <f>E2*F2</f>
        <v/>
      </c>
      <c r="H2" s="20">
        <f>IF(G2&gt;=15,"CRITICAL",IF(G2&gt;=10,"HIGH",IF(G2&gt;=5,"MEDIUM","LOW")))</f>
        <v/>
      </c>
      <c r="I2" s="20" t="inlineStr">
        <is>
          <t>Mitigate</t>
        </is>
      </c>
      <c r="J2" s="20" t="inlineStr">
        <is>
          <t>Define clear sign-off deadlines in contract; escalate after 3 business days</t>
        </is>
      </c>
      <c r="K2" s="20" t="inlineStr">
        <is>
          <t>DSG</t>
        </is>
      </c>
      <c r="L2" s="20" t="n">
        <v>4</v>
      </c>
      <c r="M2" s="20">
        <f>L2*450</f>
        <v/>
      </c>
    </row>
    <row r="3">
      <c r="A3" s="20" t="inlineStr">
        <is>
          <t>R2</t>
        </is>
      </c>
      <c r="B3" s="20" t="inlineStr">
        <is>
          <t>Content migration takes longer due to inconsistent legacy data formats</t>
        </is>
      </c>
      <c r="C3" s="20" t="inlineStr">
        <is>
          <t>Technical</t>
        </is>
      </c>
      <c r="D3" s="20" t="inlineStr">
        <is>
          <t>2</t>
        </is>
      </c>
      <c r="E3" s="20" t="n">
        <v>4</v>
      </c>
      <c r="F3" s="20" t="n">
        <v>3</v>
      </c>
      <c r="G3" s="20">
        <f>E3*F3</f>
        <v/>
      </c>
      <c r="H3" s="20">
        <f>IF(G3&gt;=15,"CRITICAL",IF(G3&gt;=10,"HIGH",IF(G3&gt;=5,"MEDIUM","LOW")))</f>
        <v/>
      </c>
      <c r="I3" s="20" t="inlineStr">
        <is>
          <t>Mitigate</t>
        </is>
      </c>
      <c r="J3" s="20" t="inlineStr">
        <is>
          <t>Audit legacy content before migration; prepare transformation scripts</t>
        </is>
      </c>
      <c r="K3" s="20" t="inlineStr">
        <is>
          <t>DEV</t>
        </is>
      </c>
      <c r="L3" s="20" t="n">
        <v>3</v>
      </c>
      <c r="M3" s="20">
        <f>L3*450</f>
        <v/>
      </c>
    </row>
    <row r="4">
      <c r="A4" t="inlineStr">
        <is>
          <t>R3</t>
        </is>
      </c>
      <c r="B4" t="inlineStr">
        <is>
          <t>Third-party CRM API changes require rework of contact form integration</t>
        </is>
      </c>
      <c r="C4" t="inlineStr">
        <is>
          <t>External</t>
        </is>
      </c>
      <c r="D4" t="inlineStr">
        <is>
          <t>2</t>
        </is>
      </c>
      <c r="E4" t="n">
        <v>2</v>
      </c>
      <c r="F4" t="n">
        <v>3</v>
      </c>
      <c r="G4">
        <f>E4*F4</f>
        <v/>
      </c>
      <c r="H4">
        <f>IF(G4&gt;=15,"CRITICAL",IF(G4&gt;=10,"HIGH",IF(G4&gt;=5,"MEDIUM","LOW")))</f>
        <v/>
      </c>
      <c r="I4" t="inlineStr">
        <is>
          <t>Accept</t>
        </is>
      </c>
      <c r="J4" t="inlineStr">
        <is>
          <t>Monitor CRM changelog; budget 1pd for emergency rework</t>
        </is>
      </c>
      <c r="K4" t="inlineStr">
        <is>
          <t>DEV</t>
        </is>
      </c>
      <c r="L4" t="n">
        <v>1</v>
      </c>
      <c r="M4">
        <f>L4*450</f>
        <v/>
      </c>
    </row>
    <row r="6">
      <c r="A6" s="11" t="inlineStr">
        <is>
          <t>TOTAL</t>
        </is>
      </c>
      <c r="L6" s="11">
        <f>SUM(L2:L4)</f>
        <v/>
      </c>
      <c r="M6" s="11">
        <f>SUM(M2:M4)</f>
        <v/>
      </c>
    </row>
    <row r="7">
      <c r="A7" t="inlineStr">
        <is>
          <t>Management Reserve</t>
        </is>
      </c>
      <c r="L7">
        <f>(WBS!H24*(1+0.1+0.05)+L6)*0.1</f>
        <v/>
      </c>
      <c r="M7">
        <f>(WBS!H24*(1+0.1+0.05)+L6)*0.1*450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Understand pain points, define visual identity, produce wireframes and mockups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WBS!B11</f>
        <v/>
      </c>
      <c r="B3" s="2" t="inlineStr">
        <is>
          <t>Build CMS-driven website on WordPress + Elementor Pro</t>
        </is>
      </c>
      <c r="C3" s="4">
        <f>WBS!E11</f>
        <v/>
      </c>
      <c r="D3" s="4">
        <f>WBS!F11</f>
        <v/>
      </c>
      <c r="E3" s="4">
        <f>WBS!G11</f>
        <v/>
      </c>
      <c r="F3" s="4">
        <f>WBS!H11</f>
        <v/>
      </c>
      <c r="G3" s="4">
        <f>WBS!I11</f>
        <v/>
      </c>
      <c r="H3" s="4">
        <f>WBS!J11</f>
        <v/>
      </c>
      <c r="I3" s="4">
        <f>WBS!K11</f>
        <v/>
      </c>
      <c r="J3" s="4">
        <f>WBS!L11</f>
        <v/>
      </c>
      <c r="K3" s="4">
        <f>WBS!M11</f>
        <v/>
      </c>
    </row>
    <row r="4">
      <c r="A4" s="2">
        <f>WBS!B18</f>
        <v/>
      </c>
      <c r="B4" s="2" t="inlineStr">
        <is>
          <t>Validate quality, train client, execute DNS cutover</t>
        </is>
      </c>
      <c r="C4" s="4">
        <f>WBS!E18</f>
        <v/>
      </c>
      <c r="D4" s="4">
        <f>WBS!F18</f>
        <v/>
      </c>
      <c r="E4" s="4">
        <f>WBS!G18</f>
        <v/>
      </c>
      <c r="F4" s="4">
        <f>WBS!H18</f>
        <v/>
      </c>
      <c r="G4" s="4">
        <f>WBS!I18</f>
        <v/>
      </c>
      <c r="H4" s="4">
        <f>WBS!J18</f>
        <v/>
      </c>
      <c r="I4" s="4">
        <f>WBS!K18</f>
        <v/>
      </c>
      <c r="J4" s="4">
        <f>WBS!L18</f>
        <v/>
      </c>
      <c r="K4" s="4">
        <f>WBS!M18</f>
        <v/>
      </c>
    </row>
    <row r="5">
      <c r="A5" s="11" t="inlineStr">
        <is>
          <t>TOTAL</t>
        </is>
      </c>
      <c r="B5" s="11" t="n"/>
      <c r="C5" s="13">
        <f>SUM(C2:C4)</f>
        <v/>
      </c>
      <c r="D5" s="13">
        <f>SUM(D2:D4)</f>
        <v/>
      </c>
      <c r="E5" s="13">
        <f>SUM(E2:E4)</f>
        <v/>
      </c>
      <c r="F5" s="13">
        <f>SUM(F2:F4)</f>
        <v/>
      </c>
      <c r="G5" s="13">
        <f>SUM(G2:G4)</f>
        <v/>
      </c>
      <c r="H5" s="13">
        <f>SUM(H2:H4)</f>
        <v/>
      </c>
      <c r="I5" s="13">
        <f>SUM(I2:I4)</f>
        <v/>
      </c>
      <c r="J5" s="13">
        <f>SUM(J2:J4)</f>
        <v/>
      </c>
      <c r="K5" s="13">
        <f>SUM(K2:K4)</f>
        <v/>
      </c>
    </row>
    <row r="7">
      <c r="A7" t="inlineStr">
        <is>
          <t>Tech PERT Effort (PD)</t>
        </is>
      </c>
      <c r="B7">
        <f>F5</f>
        <v/>
      </c>
    </row>
    <row r="8">
      <c r="A8" t="inlineStr">
        <is>
          <t>PM Overhead (+10%) (PD)</t>
        </is>
      </c>
      <c r="B8">
        <f>B7*0.1</f>
        <v/>
      </c>
    </row>
    <row r="9">
      <c r="A9" t="inlineStr">
        <is>
          <t>DevOps Overhead (+5%) (PD)</t>
        </is>
      </c>
      <c r="B9">
        <f>B7*0.05</f>
        <v/>
      </c>
    </row>
    <row r="10">
      <c r="A10" t="inlineStr">
        <is>
          <t>Subtotal Tech + Overhead (PD)</t>
        </is>
      </c>
      <c r="B10">
        <f>B7+B8+B9</f>
        <v/>
      </c>
    </row>
    <row r="11">
      <c r="A11" t="inlineStr">
        <is>
          <t>Contingency per-risk (PD)</t>
        </is>
      </c>
      <c r="B11">
        <f>Risks!L6</f>
        <v/>
      </c>
    </row>
    <row r="12">
      <c r="A12" t="inlineStr">
        <is>
          <t>Low Band</t>
        </is>
      </c>
      <c r="B12">
        <f>B10+B11</f>
        <v/>
      </c>
    </row>
    <row r="13">
      <c r="A13" t="inlineStr">
        <is>
          <t>Management Reserve (10%) (PD)</t>
        </is>
      </c>
      <c r="B13">
        <f>B12*0.1</f>
        <v/>
      </c>
    </row>
    <row r="14">
      <c r="A14" t="inlineStr">
        <is>
          <t>Medium Band (recommended)</t>
        </is>
      </c>
      <c r="B14">
        <f>B12+B13</f>
        <v/>
      </c>
    </row>
    <row r="15">
      <c r="A15" t="inlineStr">
        <is>
          <t>High Band</t>
        </is>
      </c>
      <c r="B15">
        <f>B14*(1+0.12)</f>
        <v/>
      </c>
    </row>
    <row r="16">
      <c r="A16" t="inlineStr">
        <is>
          <t>Total Billable Effort (PD)</t>
        </is>
      </c>
      <c r="B16">
        <f>WBS!S24</f>
        <v/>
      </c>
    </row>
    <row r="17">
      <c r="A17" t="inlineStr">
        <is>
          <t>Billable Ratio</t>
        </is>
      </c>
      <c r="B17">
        <f>B16/B7</f>
        <v/>
      </c>
    </row>
    <row r="19">
      <c r="A19" t="inlineStr">
        <is>
          <t>Calendar Duration (weeks)</t>
        </is>
      </c>
      <c r="B19" s="21" t="n">
        <v>8</v>
      </c>
    </row>
    <row r="21">
      <c r="A21" s="22" t="inlineStr">
        <is>
          <t>Effort by Team (PD)</t>
        </is>
      </c>
    </row>
    <row r="22">
      <c r="A22" t="inlineStr">
        <is>
          <t>Agency</t>
        </is>
      </c>
      <c r="B22" s="16" t="n">
        <v>42.49999999999999</v>
      </c>
    </row>
    <row r="24">
      <c r="A24" s="22" t="inlineStr">
        <is>
          <t>Sensitivity Scenarios</t>
        </is>
      </c>
    </row>
    <row r="25">
      <c r="A25" t="inlineStr">
        <is>
          <t>Optimistic: ~85% of Fascia MEDIA — best-case execution for 1-website-redesign</t>
        </is>
      </c>
    </row>
    <row r="26">
      <c r="A26" t="inlineStr">
        <is>
          <t>Realistic: Fascia MEDIA — current best estimate including overhead and MR</t>
        </is>
      </c>
    </row>
    <row r="27">
      <c r="A27" t="inlineStr">
        <is>
          <t>Pessimistic: ~115% of Fascia MEDIA — material slippage on critical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2026-09-29T17:41:17Z</dcterms:created>
  <dcterms:modified xmlns:dcterms="http://purl.org/dc/terms/" xmlns:xsi="http://www.w3.org/2001/XMLSchema-instance" xsi:type="dcterms:W3CDTF">2026-09-29T17:41:17Z</dcterms:modified>
</cp:coreProperties>
</file>