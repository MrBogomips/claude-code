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Plan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9C0006"/>
    </font>
    <font>
      <b val="1"/>
      <color rgb="FFFF0000"/>
    </font>
  </fonts>
  <fills count="8">
    <fill>
      <patternFill/>
    </fill>
    <fill>
      <patternFill patternType="gray125"/>
    </fill>
    <fill>
      <patternFill patternType="solid">
        <fgColor rgb="FFE6394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4" fontId="3" fillId="0" borderId="0" pivotButton="0" quotePrefix="0" xfId="0"/>
    <xf numFmtId="4" fontId="0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(pd)</t>
        </is>
      </c>
      <c r="F1" s="1" t="inlineStr">
        <is>
          <t>Likely Effort (pd)</t>
        </is>
      </c>
      <c r="G1" s="1" t="inlineStr">
        <is>
          <t>Worst Effort (pd)</t>
        </is>
      </c>
      <c r="H1" s="1" t="inlineStr">
        <is>
          <t>PERT Effort (pd)</t>
        </is>
      </c>
      <c r="I1" s="1" t="inlineStr">
        <is>
          <t>Best Duration (d)</t>
        </is>
      </c>
      <c r="J1" s="1" t="inlineStr">
        <is>
          <t>Likely Duration (d)</t>
        </is>
      </c>
      <c r="K1" s="1" t="inlineStr">
        <is>
          <t>Worst Duration (d)</t>
        </is>
      </c>
      <c r="L1" s="1" t="inlineStr">
        <is>
          <t>PERT Duration (d)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1</t>
        </is>
      </c>
      <c r="B2" s="2" t="inlineStr">
        <is>
          <t>Discovery</t>
        </is>
      </c>
      <c r="C2" s="2" t="n"/>
      <c r="D2" s="2" t="n"/>
      <c r="E2" s="3">
        <f>SUM(E4,E5,E7,E8)</f>
        <v/>
      </c>
      <c r="F2" s="3">
        <f>SUM(F4,F5,F7,F8)</f>
        <v/>
      </c>
      <c r="G2" s="3">
        <f>SUM(G4,G5,G7,G8)</f>
        <v/>
      </c>
      <c r="H2" s="4">
        <f>(E2+4*F2+G2)/6</f>
        <v/>
      </c>
      <c r="I2" s="3">
        <f>SUM(I4,I5,I7,I8)</f>
        <v/>
      </c>
      <c r="J2" s="3">
        <f>SUM(J4,J5,J7,J8)</f>
        <v/>
      </c>
      <c r="K2" s="3">
        <f>SUM(K4,K5,K7,K8)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SUM(S4,S5,S7,S8)</f>
        <v/>
      </c>
    </row>
    <row r="3">
      <c r="A3" s="5" t="inlineStr">
        <is>
          <t>1.1</t>
        </is>
      </c>
      <c r="B3" s="5" t="n"/>
      <c r="C3" s="5" t="inlineStr">
        <is>
          <t>Project Kickoff</t>
        </is>
      </c>
      <c r="D3" s="5" t="n"/>
      <c r="E3" s="6">
        <f>SUM(E4:E5)</f>
        <v/>
      </c>
      <c r="F3" s="6">
        <f>SUM(F4:F5)</f>
        <v/>
      </c>
      <c r="G3" s="6">
        <f>SUM(G4:G5)</f>
        <v/>
      </c>
      <c r="H3" s="7">
        <f>(E3+4*F3+G3)/6</f>
        <v/>
      </c>
      <c r="I3" s="6">
        <f>SUM(I4:I5)</f>
        <v/>
      </c>
      <c r="J3" s="6">
        <f>SUM(J4:J5)</f>
        <v/>
      </c>
      <c r="K3" s="6">
        <f>SUM(K4:K5)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SUM(S4:S5)</f>
        <v/>
      </c>
    </row>
    <row r="4">
      <c r="A4" s="8" t="inlineStr">
        <is>
          <t>1.1.1</t>
        </is>
      </c>
      <c r="B4" s="8" t="n"/>
      <c r="C4" s="8" t="n"/>
      <c r="D4" s="8" t="inlineStr">
        <is>
          <t>Stakeholder workshop</t>
        </is>
      </c>
      <c r="E4" s="9" t="n">
        <v>2</v>
      </c>
      <c r="F4" s="9" t="n">
        <v>3</v>
      </c>
      <c r="G4" s="9" t="n">
        <v>5</v>
      </c>
      <c r="H4" s="10">
        <f>(E4+4*F4+G4)/6</f>
        <v/>
      </c>
      <c r="I4" s="9" t="n">
        <v>2</v>
      </c>
      <c r="J4" s="9" t="n">
        <v>3</v>
      </c>
      <c r="K4" s="9" t="n">
        <v>5</v>
      </c>
      <c r="L4" s="10">
        <f>(I4+4*J4+K4)/6</f>
        <v/>
      </c>
      <c r="M4" s="10">
        <f>(K4-I4)/6</f>
        <v/>
      </c>
      <c r="N4" s="8" t="inlineStr">
        <is>
          <t>PO</t>
        </is>
      </c>
      <c r="O4" s="8" t="inlineStr"/>
      <c r="P4" s="8" t="inlineStr">
        <is>
          <t>R5</t>
        </is>
      </c>
      <c r="Q4" s="8" t="inlineStr">
        <is>
          <t>Kick-off with key stakeholders</t>
        </is>
      </c>
      <c r="R4" s="8" t="inlineStr">
        <is>
          <t>Y</t>
        </is>
      </c>
      <c r="S4" s="10">
        <f>IF(R4="Y",H4,0)</f>
        <v/>
      </c>
    </row>
    <row r="5">
      <c r="A5" s="8" t="inlineStr">
        <is>
          <t>1.1.2</t>
        </is>
      </c>
      <c r="B5" s="8" t="n"/>
      <c r="C5" s="8" t="n"/>
      <c r="D5" s="8" t="inlineStr">
        <is>
          <t>Requirements elicitation</t>
        </is>
      </c>
      <c r="E5" s="9" t="n">
        <v>4</v>
      </c>
      <c r="F5" s="9" t="n">
        <v>6</v>
      </c>
      <c r="G5" s="9" t="n">
        <v>10</v>
      </c>
      <c r="H5" s="10">
        <f>(E5+4*F5+G5)/6</f>
        <v/>
      </c>
      <c r="I5" s="9" t="n">
        <v>3</v>
      </c>
      <c r="J5" s="9" t="n">
        <v>5</v>
      </c>
      <c r="K5" s="9" t="n">
        <v>8</v>
      </c>
      <c r="L5" s="10">
        <f>(I5+4*J5+K5)/6</f>
        <v/>
      </c>
      <c r="M5" s="10">
        <f>(K5-I5)/6</f>
        <v/>
      </c>
      <c r="N5" s="8" t="inlineStr">
        <is>
          <t>PO, BED</t>
        </is>
      </c>
      <c r="O5" s="8" t="inlineStr">
        <is>
          <t>1.1.1</t>
        </is>
      </c>
      <c r="P5" s="8" t="inlineStr">
        <is>
          <t>R5</t>
        </is>
      </c>
      <c r="Q5" s="8" t="inlineStr">
        <is>
          <t>User stories and acceptance criteria</t>
        </is>
      </c>
      <c r="R5" s="8" t="inlineStr">
        <is>
          <t>Y</t>
        </is>
      </c>
      <c r="S5" s="10">
        <f>IF(R5="Y",H5,0)</f>
        <v/>
      </c>
    </row>
    <row r="6">
      <c r="A6" s="5" t="inlineStr">
        <is>
          <t>1.2</t>
        </is>
      </c>
      <c r="B6" s="5" t="n"/>
      <c r="C6" s="5" t="inlineStr">
        <is>
          <t>Technical Feasibility</t>
        </is>
      </c>
      <c r="D6" s="5" t="n"/>
      <c r="E6" s="6">
        <f>SUM(E7:E8)</f>
        <v/>
      </c>
      <c r="F6" s="6">
        <f>SUM(F7:F8)</f>
        <v/>
      </c>
      <c r="G6" s="6">
        <f>SUM(G7:G8)</f>
        <v/>
      </c>
      <c r="H6" s="7">
        <f>(E6+4*F6+G6)/6</f>
        <v/>
      </c>
      <c r="I6" s="6">
        <f>SUM(I7:I8)</f>
        <v/>
      </c>
      <c r="J6" s="6">
        <f>SUM(J7:J8)</f>
        <v/>
      </c>
      <c r="K6" s="6">
        <f>SUM(K7:K8)</f>
        <v/>
      </c>
      <c r="L6" s="7">
        <f>(I6+4*J6+K6)/6</f>
        <v/>
      </c>
      <c r="M6" s="7">
        <f>(K6-I6)/6</f>
        <v/>
      </c>
      <c r="N6" s="5" t="n"/>
      <c r="O6" s="5" t="n"/>
      <c r="P6" s="5" t="n"/>
      <c r="Q6" s="5" t="n"/>
      <c r="R6" s="5" t="n"/>
      <c r="S6" s="7">
        <f>SUM(S7:S8)</f>
        <v/>
      </c>
    </row>
    <row r="7">
      <c r="A7" s="8" t="inlineStr">
        <is>
          <t>1.2.1</t>
        </is>
      </c>
      <c r="B7" s="8" t="n"/>
      <c r="C7" s="8" t="n"/>
      <c r="D7" s="8" t="inlineStr">
        <is>
          <t>Technology stack selection</t>
        </is>
      </c>
      <c r="E7" s="9" t="n">
        <v>1</v>
      </c>
      <c r="F7" s="9" t="n">
        <v>2</v>
      </c>
      <c r="G7" s="9" t="n">
        <v>3</v>
      </c>
      <c r="H7" s="10">
        <f>(E7+4*F7+G7)/6</f>
        <v/>
      </c>
      <c r="I7" s="9" t="n">
        <v>1</v>
      </c>
      <c r="J7" s="9" t="n">
        <v>2</v>
      </c>
      <c r="K7" s="9" t="n">
        <v>3</v>
      </c>
      <c r="L7" s="10">
        <f>(I7+4*J7+K7)/6</f>
        <v/>
      </c>
      <c r="M7" s="10">
        <f>(K7-I7)/6</f>
        <v/>
      </c>
      <c r="N7" s="8" t="inlineStr">
        <is>
          <t>MOB, BED</t>
        </is>
      </c>
      <c r="O7" s="8" t="inlineStr">
        <is>
          <t>1.1.2</t>
        </is>
      </c>
      <c r="P7" s="8" t="inlineStr"/>
      <c r="Q7" s="8" t="inlineStr">
        <is>
          <t>React Native vs Flutter evaluation</t>
        </is>
      </c>
      <c r="R7" s="8" t="inlineStr">
        <is>
          <t>Y</t>
        </is>
      </c>
      <c r="S7" s="10">
        <f>IF(R7="Y",H7,0)</f>
        <v/>
      </c>
    </row>
    <row r="8">
      <c r="A8" s="8" t="inlineStr">
        <is>
          <t>1.2.2</t>
        </is>
      </c>
      <c r="B8" s="8" t="n"/>
      <c r="C8" s="8" t="n"/>
      <c r="D8" s="8" t="inlineStr">
        <is>
          <t>Architecture draft</t>
        </is>
      </c>
      <c r="E8" s="9" t="n">
        <v>2</v>
      </c>
      <c r="F8" s="9" t="n">
        <v>3</v>
      </c>
      <c r="G8" s="9" t="n">
        <v>5</v>
      </c>
      <c r="H8" s="10">
        <f>(E8+4*F8+G8)/6</f>
        <v/>
      </c>
      <c r="I8" s="9" t="n">
        <v>2</v>
      </c>
      <c r="J8" s="9" t="n">
        <v>3</v>
      </c>
      <c r="K8" s="9" t="n">
        <v>5</v>
      </c>
      <c r="L8" s="10">
        <f>(I8+4*J8+K8)/6</f>
        <v/>
      </c>
      <c r="M8" s="10">
        <f>(K8-I8)/6</f>
        <v/>
      </c>
      <c r="N8" s="8" t="inlineStr">
        <is>
          <t>BED</t>
        </is>
      </c>
      <c r="O8" s="8" t="inlineStr">
        <is>
          <t>1.2.1</t>
        </is>
      </c>
      <c r="P8" s="8" t="inlineStr">
        <is>
          <t>R2</t>
        </is>
      </c>
      <c r="Q8" s="8" t="inlineStr">
        <is>
          <t>High-level system architecture</t>
        </is>
      </c>
      <c r="R8" s="8" t="inlineStr">
        <is>
          <t>Y</t>
        </is>
      </c>
      <c r="S8" s="10">
        <f>IF(R8="Y",H8,0)</f>
        <v/>
      </c>
    </row>
    <row r="9">
      <c r="A9" s="2" t="inlineStr">
        <is>
          <t>2</t>
        </is>
      </c>
      <c r="B9" s="2" t="inlineStr">
        <is>
          <t>UX Design</t>
        </is>
      </c>
      <c r="C9" s="2" t="n"/>
      <c r="D9" s="2" t="n"/>
      <c r="E9" s="3">
        <f>SUM(E11,E12,E14,E15,E16)</f>
        <v/>
      </c>
      <c r="F9" s="3">
        <f>SUM(F11,F12,F14,F15,F16)</f>
        <v/>
      </c>
      <c r="G9" s="3">
        <f>SUM(G11,G12,G14,G15,G16)</f>
        <v/>
      </c>
      <c r="H9" s="4">
        <f>(E9+4*F9+G9)/6</f>
        <v/>
      </c>
      <c r="I9" s="3">
        <f>SUM(I11,I12,I14,I15,I16)</f>
        <v/>
      </c>
      <c r="J9" s="3">
        <f>SUM(J11,J12,J14,J15,J16)</f>
        <v/>
      </c>
      <c r="K9" s="3">
        <f>SUM(K11,K12,K14,K15,K16)</f>
        <v/>
      </c>
      <c r="L9" s="4">
        <f>(I9+4*J9+K9)/6</f>
        <v/>
      </c>
      <c r="M9" s="4">
        <f>(K9-I9)/6</f>
        <v/>
      </c>
      <c r="N9" s="2" t="n"/>
      <c r="O9" s="2" t="n"/>
      <c r="P9" s="2" t="n"/>
      <c r="Q9" s="2" t="n"/>
      <c r="R9" s="2" t="n"/>
      <c r="S9" s="4">
        <f>SUM(S11,S12,S14,S15,S16)</f>
        <v/>
      </c>
    </row>
    <row r="10">
      <c r="A10" s="5" t="inlineStr">
        <is>
          <t>2.1</t>
        </is>
      </c>
      <c r="B10" s="5" t="n"/>
      <c r="C10" s="5" t="inlineStr">
        <is>
          <t>Wireframing</t>
        </is>
      </c>
      <c r="D10" s="5" t="n"/>
      <c r="E10" s="6">
        <f>SUM(E11:E12)</f>
        <v/>
      </c>
      <c r="F10" s="6">
        <f>SUM(F11:F12)</f>
        <v/>
      </c>
      <c r="G10" s="6">
        <f>SUM(G11:G12)</f>
        <v/>
      </c>
      <c r="H10" s="7">
        <f>(E10+4*F10+G10)/6</f>
        <v/>
      </c>
      <c r="I10" s="6">
        <f>SUM(I11:I12)</f>
        <v/>
      </c>
      <c r="J10" s="6">
        <f>SUM(J11:J12)</f>
        <v/>
      </c>
      <c r="K10" s="6">
        <f>SUM(K11:K12)</f>
        <v/>
      </c>
      <c r="L10" s="7">
        <f>(I10+4*J10+K10)/6</f>
        <v/>
      </c>
      <c r="M10" s="7">
        <f>(K10-I10)/6</f>
        <v/>
      </c>
      <c r="N10" s="5" t="n"/>
      <c r="O10" s="5" t="n"/>
      <c r="P10" s="5" t="n"/>
      <c r="Q10" s="5" t="n"/>
      <c r="R10" s="5" t="n"/>
      <c r="S10" s="7">
        <f>SUM(S11:S12)</f>
        <v/>
      </c>
    </row>
    <row r="11">
      <c r="A11" s="8" t="inlineStr">
        <is>
          <t>2.1.1</t>
        </is>
      </c>
      <c r="B11" s="8" t="n"/>
      <c r="C11" s="8" t="n"/>
      <c r="D11" s="8" t="inlineStr">
        <is>
          <t>User flow mapping</t>
        </is>
      </c>
      <c r="E11" s="9" t="n">
        <v>2</v>
      </c>
      <c r="F11" s="9" t="n">
        <v>3</v>
      </c>
      <c r="G11" s="9" t="n">
        <v>5</v>
      </c>
      <c r="H11" s="10">
        <f>(E11+4*F11+G11)/6</f>
        <v/>
      </c>
      <c r="I11" s="9" t="n">
        <v>2</v>
      </c>
      <c r="J11" s="9" t="n">
        <v>3</v>
      </c>
      <c r="K11" s="9" t="n">
        <v>5</v>
      </c>
      <c r="L11" s="10">
        <f>(I11+4*J11+K11)/6</f>
        <v/>
      </c>
      <c r="M11" s="10">
        <f>(K11-I11)/6</f>
        <v/>
      </c>
      <c r="N11" s="8" t="inlineStr">
        <is>
          <t>PO</t>
        </is>
      </c>
      <c r="O11" s="8" t="inlineStr">
        <is>
          <t>1.1.2</t>
        </is>
      </c>
      <c r="P11" s="8" t="inlineStr">
        <is>
          <t>R5</t>
        </is>
      </c>
      <c r="Q11" s="8" t="inlineStr">
        <is>
          <t>Journey maps for field technicians</t>
        </is>
      </c>
      <c r="R11" s="8" t="inlineStr">
        <is>
          <t>Y</t>
        </is>
      </c>
      <c r="S11" s="10">
        <f>IF(R11="Y",H11,0)</f>
        <v/>
      </c>
    </row>
    <row r="12">
      <c r="A12" s="8" t="inlineStr">
        <is>
          <t>2.1.2</t>
        </is>
      </c>
      <c r="B12" s="8" t="n"/>
      <c r="C12" s="8" t="n"/>
      <c r="D12" s="8" t="inlineStr">
        <is>
          <t>Low-fidelity wireframes</t>
        </is>
      </c>
      <c r="E12" s="9" t="n">
        <v>4</v>
      </c>
      <c r="F12" s="9" t="n">
        <v>6</v>
      </c>
      <c r="G12" s="9" t="n">
        <v>9</v>
      </c>
      <c r="H12" s="10">
        <f>(E12+4*F12+G12)/6</f>
        <v/>
      </c>
      <c r="I12" s="9" t="n">
        <v>3</v>
      </c>
      <c r="J12" s="9" t="n">
        <v>4</v>
      </c>
      <c r="K12" s="9" t="n">
        <v>6</v>
      </c>
      <c r="L12" s="10">
        <f>(I12+4*J12+K12)/6</f>
        <v/>
      </c>
      <c r="M12" s="10">
        <f>(K12-I12)/6</f>
        <v/>
      </c>
      <c r="N12" s="8" t="inlineStr">
        <is>
          <t>MOB, PO</t>
        </is>
      </c>
      <c r="O12" s="8" t="inlineStr">
        <is>
          <t>2.1.1</t>
        </is>
      </c>
      <c r="P12" s="8" t="inlineStr"/>
      <c r="Q12" s="8" t="inlineStr">
        <is>
          <t>Sketch-level wireframes for all screens</t>
        </is>
      </c>
      <c r="R12" s="8" t="inlineStr">
        <is>
          <t>Y</t>
        </is>
      </c>
      <c r="S12" s="10">
        <f>IF(R12="Y",H12,0)</f>
        <v/>
      </c>
    </row>
    <row r="13">
      <c r="A13" s="5" t="inlineStr">
        <is>
          <t>2.2</t>
        </is>
      </c>
      <c r="B13" s="5" t="n"/>
      <c r="C13" s="5" t="inlineStr">
        <is>
          <t>Prototyping</t>
        </is>
      </c>
      <c r="D13" s="5" t="n"/>
      <c r="E13" s="6">
        <f>SUM(E14:E16)</f>
        <v/>
      </c>
      <c r="F13" s="6">
        <f>SUM(F14:F16)</f>
        <v/>
      </c>
      <c r="G13" s="6">
        <f>SUM(G14:G16)</f>
        <v/>
      </c>
      <c r="H13" s="7">
        <f>(E13+4*F13+G13)/6</f>
        <v/>
      </c>
      <c r="I13" s="6">
        <f>SUM(I14:I16)</f>
        <v/>
      </c>
      <c r="J13" s="6">
        <f>SUM(J14:J16)</f>
        <v/>
      </c>
      <c r="K13" s="6">
        <f>SUM(K14:K16)</f>
        <v/>
      </c>
      <c r="L13" s="7">
        <f>(I13+4*J13+K13)/6</f>
        <v/>
      </c>
      <c r="M13" s="7">
        <f>(K13-I13)/6</f>
        <v/>
      </c>
      <c r="N13" s="5" t="n"/>
      <c r="O13" s="5" t="n"/>
      <c r="P13" s="5" t="n"/>
      <c r="Q13" s="5" t="n"/>
      <c r="R13" s="5" t="n"/>
      <c r="S13" s="7">
        <f>SUM(S14:S16)</f>
        <v/>
      </c>
    </row>
    <row r="14">
      <c r="A14" s="8" t="inlineStr">
        <is>
          <t>2.2.1</t>
        </is>
      </c>
      <c r="B14" s="8" t="n"/>
      <c r="C14" s="8" t="n"/>
      <c r="D14" s="8" t="inlineStr">
        <is>
          <t>Interactive prototype</t>
        </is>
      </c>
      <c r="E14" s="9" t="n">
        <v>3</v>
      </c>
      <c r="F14" s="9" t="n">
        <v>5</v>
      </c>
      <c r="G14" s="9" t="n">
        <v>8</v>
      </c>
      <c r="H14" s="10">
        <f>(E14+4*F14+G14)/6</f>
        <v/>
      </c>
      <c r="I14" s="9" t="n">
        <v>3</v>
      </c>
      <c r="J14" s="9" t="n">
        <v>5</v>
      </c>
      <c r="K14" s="9" t="n">
        <v>8</v>
      </c>
      <c r="L14" s="10">
        <f>(I14+4*J14+K14)/6</f>
        <v/>
      </c>
      <c r="M14" s="10">
        <f>(K14-I14)/6</f>
        <v/>
      </c>
      <c r="N14" s="8" t="inlineStr">
        <is>
          <t>MOB</t>
        </is>
      </c>
      <c r="O14" s="8" t="inlineStr">
        <is>
          <t>2.1.2</t>
        </is>
      </c>
      <c r="P14" s="8" t="inlineStr"/>
      <c r="Q14" s="8" t="inlineStr">
        <is>
          <t>Clickable prototype in Figma</t>
        </is>
      </c>
      <c r="R14" s="8" t="inlineStr">
        <is>
          <t>Y</t>
        </is>
      </c>
      <c r="S14" s="10">
        <f>IF(R14="Y",H14,0)</f>
        <v/>
      </c>
    </row>
    <row r="15">
      <c r="A15" s="8" t="inlineStr">
        <is>
          <t>2.2.2</t>
        </is>
      </c>
      <c r="B15" s="8" t="n"/>
      <c r="C15" s="8" t="n"/>
      <c r="D15" s="8" t="inlineStr">
        <is>
          <t>Usability review</t>
        </is>
      </c>
      <c r="E15" s="9" t="n">
        <v>2</v>
      </c>
      <c r="F15" s="9" t="n">
        <v>3</v>
      </c>
      <c r="G15" s="9" t="n">
        <v>5</v>
      </c>
      <c r="H15" s="10">
        <f>(E15+4*F15+G15)/6</f>
        <v/>
      </c>
      <c r="I15" s="9" t="n">
        <v>1</v>
      </c>
      <c r="J15" s="9" t="n">
        <v>2</v>
      </c>
      <c r="K15" s="9" t="n">
        <v>4</v>
      </c>
      <c r="L15" s="10">
        <f>(I15+4*J15+K15)/6</f>
        <v/>
      </c>
      <c r="M15" s="10">
        <f>(K15-I15)/6</f>
        <v/>
      </c>
      <c r="N15" s="8" t="inlineStr">
        <is>
          <t>PO, QA</t>
        </is>
      </c>
      <c r="O15" s="8" t="inlineStr">
        <is>
          <t>2.2.1</t>
        </is>
      </c>
      <c r="P15" s="8" t="inlineStr"/>
      <c r="Q15" s="8" t="inlineStr">
        <is>
          <t>Internal review of prototype flows</t>
        </is>
      </c>
      <c r="R15" s="8" t="inlineStr">
        <is>
          <t>Y</t>
        </is>
      </c>
      <c r="S15" s="10">
        <f>IF(R15="Y",H15,0)</f>
        <v/>
      </c>
    </row>
    <row r="16">
      <c r="A16" s="8" t="inlineStr">
        <is>
          <t>2.2.3</t>
        </is>
      </c>
      <c r="B16" s="8" t="n"/>
      <c r="C16" s="8" t="n"/>
      <c r="D16" s="8" t="inlineStr">
        <is>
          <t>Design iteration</t>
        </is>
      </c>
      <c r="E16" s="9" t="n">
        <v>2</v>
      </c>
      <c r="F16" s="9" t="n">
        <v>3</v>
      </c>
      <c r="G16" s="9" t="n">
        <v>5</v>
      </c>
      <c r="H16" s="10">
        <f>(E16+4*F16+G16)/6</f>
        <v/>
      </c>
      <c r="I16" s="9" t="n">
        <v>2</v>
      </c>
      <c r="J16" s="9" t="n">
        <v>3</v>
      </c>
      <c r="K16" s="9" t="n">
        <v>5</v>
      </c>
      <c r="L16" s="10">
        <f>(I16+4*J16+K16)/6</f>
        <v/>
      </c>
      <c r="M16" s="10">
        <f>(K16-I16)/6</f>
        <v/>
      </c>
      <c r="N16" s="8" t="inlineStr">
        <is>
          <t>MOB</t>
        </is>
      </c>
      <c r="O16" s="8" t="inlineStr">
        <is>
          <t>2.2.2</t>
        </is>
      </c>
      <c r="P16" s="8" t="inlineStr"/>
      <c r="Q16" s="8" t="inlineStr">
        <is>
          <t>Apply feedback from usability review</t>
        </is>
      </c>
      <c r="R16" s="8" t="inlineStr">
        <is>
          <t>Y</t>
        </is>
      </c>
      <c r="S16" s="10">
        <f>IF(R16="Y",H16,0)</f>
        <v/>
      </c>
    </row>
    <row r="17">
      <c r="A17" s="2" t="inlineStr">
        <is>
          <t>3</t>
        </is>
      </c>
      <c r="B17" s="2" t="inlineStr">
        <is>
          <t>Backend Development</t>
        </is>
      </c>
      <c r="C17" s="2" t="n"/>
      <c r="D17" s="2" t="n"/>
      <c r="E17" s="3">
        <f>SUM(E19,E20,E21,E23,E24,E25)</f>
        <v/>
      </c>
      <c r="F17" s="3">
        <f>SUM(F19,F20,F21,F23,F24,F25)</f>
        <v/>
      </c>
      <c r="G17" s="3">
        <f>SUM(G19,G20,G21,G23,G24,G25)</f>
        <v/>
      </c>
      <c r="H17" s="4">
        <f>(E17+4*F17+G17)/6</f>
        <v/>
      </c>
      <c r="I17" s="3">
        <f>SUM(I19,I20,I21,I23,I24,I25)</f>
        <v/>
      </c>
      <c r="J17" s="3">
        <f>SUM(J19,J20,J21,J23,J24,J25)</f>
        <v/>
      </c>
      <c r="K17" s="3">
        <f>SUM(K19,K20,K21,K23,K24,K25)</f>
        <v/>
      </c>
      <c r="L17" s="4">
        <f>(I17+4*J17+K17)/6</f>
        <v/>
      </c>
      <c r="M17" s="4">
        <f>(K17-I17)/6</f>
        <v/>
      </c>
      <c r="N17" s="2" t="n"/>
      <c r="O17" s="2" t="n"/>
      <c r="P17" s="2" t="n"/>
      <c r="Q17" s="2" t="n"/>
      <c r="R17" s="2" t="n"/>
      <c r="S17" s="4">
        <f>SUM(S19,S20,S21,S23,S24,S25)</f>
        <v/>
      </c>
    </row>
    <row r="18">
      <c r="A18" s="5" t="inlineStr">
        <is>
          <t>3.1</t>
        </is>
      </c>
      <c r="B18" s="5" t="n"/>
      <c r="C18" s="5" t="inlineStr">
        <is>
          <t>Core API</t>
        </is>
      </c>
      <c r="D18" s="5" t="n"/>
      <c r="E18" s="6">
        <f>SUM(E19:E21)</f>
        <v/>
      </c>
      <c r="F18" s="6">
        <f>SUM(F19:F21)</f>
        <v/>
      </c>
      <c r="G18" s="6">
        <f>SUM(G19:G21)</f>
        <v/>
      </c>
      <c r="H18" s="7">
        <f>(E18+4*F18+G18)/6</f>
        <v/>
      </c>
      <c r="I18" s="6">
        <f>SUM(I19:I21)</f>
        <v/>
      </c>
      <c r="J18" s="6">
        <f>SUM(J19:J21)</f>
        <v/>
      </c>
      <c r="K18" s="6">
        <f>SUM(K19:K21)</f>
        <v/>
      </c>
      <c r="L18" s="7">
        <f>(I18+4*J18+K18)/6</f>
        <v/>
      </c>
      <c r="M18" s="7">
        <f>(K18-I18)/6</f>
        <v/>
      </c>
      <c r="N18" s="5" t="n"/>
      <c r="O18" s="5" t="n"/>
      <c r="P18" s="5" t="n"/>
      <c r="Q18" s="5" t="n"/>
      <c r="R18" s="5" t="n"/>
      <c r="S18" s="7">
        <f>SUM(S19:S21)</f>
        <v/>
      </c>
    </row>
    <row r="19">
      <c r="A19" s="8" t="inlineStr">
        <is>
          <t>3.1.1</t>
        </is>
      </c>
      <c r="B19" s="8" t="n"/>
      <c r="C19" s="8" t="n"/>
      <c r="D19" s="8" t="inlineStr">
        <is>
          <t>Auth and user management API</t>
        </is>
      </c>
      <c r="E19" s="9" t="n">
        <v>3</v>
      </c>
      <c r="F19" s="9" t="n">
        <v>5</v>
      </c>
      <c r="G19" s="9" t="n">
        <v>8</v>
      </c>
      <c r="H19" s="10">
        <f>(E19+4*F19+G19)/6</f>
        <v/>
      </c>
      <c r="I19" s="9" t="n">
        <v>3</v>
      </c>
      <c r="J19" s="9" t="n">
        <v>5</v>
      </c>
      <c r="K19" s="9" t="n">
        <v>8</v>
      </c>
      <c r="L19" s="10">
        <f>(I19+4*J19+K19)/6</f>
        <v/>
      </c>
      <c r="M19" s="10">
        <f>(K19-I19)/6</f>
        <v/>
      </c>
      <c r="N19" s="8" t="inlineStr">
        <is>
          <t>BED</t>
        </is>
      </c>
      <c r="O19" s="8" t="inlineStr">
        <is>
          <t>1.2.2</t>
        </is>
      </c>
      <c r="P19" s="8" t="inlineStr"/>
      <c r="Q19" s="8" t="inlineStr">
        <is>
          <t>JWT-based auth, role management</t>
        </is>
      </c>
      <c r="R19" s="8" t="inlineStr">
        <is>
          <t>Y</t>
        </is>
      </c>
      <c r="S19" s="10">
        <f>IF(R19="Y",H19,0)</f>
        <v/>
      </c>
    </row>
    <row r="20">
      <c r="A20" s="8" t="inlineStr">
        <is>
          <t>3.1.2</t>
        </is>
      </c>
      <c r="B20" s="8" t="n"/>
      <c r="C20" s="8" t="n"/>
      <c r="D20" s="8" t="inlineStr">
        <is>
          <t>Work order CRUD API</t>
        </is>
      </c>
      <c r="E20" s="9" t="n">
        <v>4</v>
      </c>
      <c r="F20" s="9" t="n">
        <v>6</v>
      </c>
      <c r="G20" s="9" t="n">
        <v>10</v>
      </c>
      <c r="H20" s="10">
        <f>(E20+4*F20+G20)/6</f>
        <v/>
      </c>
      <c r="I20" s="9" t="n">
        <v>4</v>
      </c>
      <c r="J20" s="9" t="n">
        <v>6</v>
      </c>
      <c r="K20" s="9" t="n">
        <v>10</v>
      </c>
      <c r="L20" s="10">
        <f>(I20+4*J20+K20)/6</f>
        <v/>
      </c>
      <c r="M20" s="10">
        <f>(K20-I20)/6</f>
        <v/>
      </c>
      <c r="N20" s="8" t="inlineStr">
        <is>
          <t>BED</t>
        </is>
      </c>
      <c r="O20" s="8" t="inlineStr">
        <is>
          <t>3.1.1</t>
        </is>
      </c>
      <c r="P20" s="8" t="inlineStr">
        <is>
          <t>R2</t>
        </is>
      </c>
      <c r="Q20" s="8" t="inlineStr">
        <is>
          <t>Full CRUD with offline conflict resolution</t>
        </is>
      </c>
      <c r="R20" s="8" t="inlineStr">
        <is>
          <t>Y</t>
        </is>
      </c>
      <c r="S20" s="10">
        <f>IF(R20="Y",H20,0)</f>
        <v/>
      </c>
    </row>
    <row r="21">
      <c r="A21" s="8" t="inlineStr">
        <is>
          <t>3.1.3</t>
        </is>
      </c>
      <c r="B21" s="8" t="n"/>
      <c r="C21" s="8" t="n"/>
      <c r="D21" s="8" t="inlineStr">
        <is>
          <t>File upload API</t>
        </is>
      </c>
      <c r="E21" s="9" t="n">
        <v>2</v>
      </c>
      <c r="F21" s="9" t="n">
        <v>3</v>
      </c>
      <c r="G21" s="9" t="n">
        <v>5</v>
      </c>
      <c r="H21" s="10">
        <f>(E21+4*F21+G21)/6</f>
        <v/>
      </c>
      <c r="I21" s="9" t="n">
        <v>2</v>
      </c>
      <c r="J21" s="9" t="n">
        <v>3</v>
      </c>
      <c r="K21" s="9" t="n">
        <v>5</v>
      </c>
      <c r="L21" s="10">
        <f>(I21+4*J21+K21)/6</f>
        <v/>
      </c>
      <c r="M21" s="10">
        <f>(K21-I21)/6</f>
        <v/>
      </c>
      <c r="N21" s="8" t="inlineStr">
        <is>
          <t>BED</t>
        </is>
      </c>
      <c r="O21" s="8" t="inlineStr">
        <is>
          <t>3.1.1</t>
        </is>
      </c>
      <c r="P21" s="8" t="inlineStr"/>
      <c r="Q21" s="8" t="inlineStr">
        <is>
          <t>Photo and document upload endpoint</t>
        </is>
      </c>
      <c r="R21" s="8" t="inlineStr">
        <is>
          <t>Y</t>
        </is>
      </c>
      <c r="S21" s="10">
        <f>IF(R21="Y",H21,0)</f>
        <v/>
      </c>
    </row>
    <row r="22">
      <c r="A22" s="5" t="inlineStr">
        <is>
          <t>3.2</t>
        </is>
      </c>
      <c r="B22" s="5" t="n"/>
      <c r="C22" s="5" t="inlineStr">
        <is>
          <t>Infrastructure</t>
        </is>
      </c>
      <c r="D22" s="5" t="n"/>
      <c r="E22" s="6">
        <f>SUM(E23:E25)</f>
        <v/>
      </c>
      <c r="F22" s="6">
        <f>SUM(F23:F25)</f>
        <v/>
      </c>
      <c r="G22" s="6">
        <f>SUM(G23:G25)</f>
        <v/>
      </c>
      <c r="H22" s="7">
        <f>(E22+4*F22+G22)/6</f>
        <v/>
      </c>
      <c r="I22" s="6">
        <f>SUM(I23:I25)</f>
        <v/>
      </c>
      <c r="J22" s="6">
        <f>SUM(J23:J25)</f>
        <v/>
      </c>
      <c r="K22" s="6">
        <f>SUM(K23:K25)</f>
        <v/>
      </c>
      <c r="L22" s="7">
        <f>(I22+4*J22+K22)/6</f>
        <v/>
      </c>
      <c r="M22" s="7">
        <f>(K22-I22)/6</f>
        <v/>
      </c>
      <c r="N22" s="5" t="n"/>
      <c r="O22" s="5" t="n"/>
      <c r="P22" s="5" t="n"/>
      <c r="Q22" s="5" t="n"/>
      <c r="R22" s="5" t="n"/>
      <c r="S22" s="7">
        <f>SUM(S23:S25)</f>
        <v/>
      </c>
    </row>
    <row r="23">
      <c r="A23" s="8" t="inlineStr">
        <is>
          <t>3.2.1</t>
        </is>
      </c>
      <c r="B23" s="8" t="n"/>
      <c r="C23" s="8" t="n"/>
      <c r="D23" s="8" t="inlineStr">
        <is>
          <t>Cloud environment setup</t>
        </is>
      </c>
      <c r="E23" s="9" t="n">
        <v>2</v>
      </c>
      <c r="F23" s="9" t="n">
        <v>3</v>
      </c>
      <c r="G23" s="9" t="n">
        <v>4</v>
      </c>
      <c r="H23" s="10">
        <f>(E23+4*F23+G23)/6</f>
        <v/>
      </c>
      <c r="I23" s="9" t="n">
        <v>2</v>
      </c>
      <c r="J23" s="9" t="n">
        <v>3</v>
      </c>
      <c r="K23" s="9" t="n">
        <v>4</v>
      </c>
      <c r="L23" s="10">
        <f>(I23+4*J23+K23)/6</f>
        <v/>
      </c>
      <c r="M23" s="10">
        <f>(K23-I23)/6</f>
        <v/>
      </c>
      <c r="N23" s="8" t="inlineStr">
        <is>
          <t>BED</t>
        </is>
      </c>
      <c r="O23" s="8" t="inlineStr">
        <is>
          <t>1.2.2</t>
        </is>
      </c>
      <c r="P23" s="8" t="inlineStr"/>
      <c r="Q23" s="8" t="inlineStr">
        <is>
          <t>AWS/GCP provisioning, CI/CD pipelines</t>
        </is>
      </c>
      <c r="R23" s="8" t="inlineStr">
        <is>
          <t>Y</t>
        </is>
      </c>
      <c r="S23" s="10">
        <f>IF(R23="Y",H23,0)</f>
        <v/>
      </c>
    </row>
    <row r="24">
      <c r="A24" s="8" t="inlineStr">
        <is>
          <t>3.2.2</t>
        </is>
      </c>
      <c r="B24" s="8" t="n"/>
      <c r="C24" s="8" t="n"/>
      <c r="D24" s="8" t="inlineStr">
        <is>
          <t>Push notification service</t>
        </is>
      </c>
      <c r="E24" s="9" t="n">
        <v>2</v>
      </c>
      <c r="F24" s="9" t="n">
        <v>3</v>
      </c>
      <c r="G24" s="9" t="n">
        <v>5</v>
      </c>
      <c r="H24" s="10">
        <f>(E24+4*F24+G24)/6</f>
        <v/>
      </c>
      <c r="I24" s="9" t="n">
        <v>2</v>
      </c>
      <c r="J24" s="9" t="n">
        <v>3</v>
      </c>
      <c r="K24" s="9" t="n">
        <v>5</v>
      </c>
      <c r="L24" s="10">
        <f>(I24+4*J24+K24)/6</f>
        <v/>
      </c>
      <c r="M24" s="10">
        <f>(K24-I24)/6</f>
        <v/>
      </c>
      <c r="N24" s="8" t="inlineStr">
        <is>
          <t>BED, MOB</t>
        </is>
      </c>
      <c r="O24" s="8" t="inlineStr">
        <is>
          <t>3.2.1</t>
        </is>
      </c>
      <c r="P24" s="8" t="inlineStr">
        <is>
          <t>R4</t>
        </is>
      </c>
      <c r="Q24" s="8" t="inlineStr">
        <is>
          <t>FCM/APNs integration</t>
        </is>
      </c>
      <c r="R24" s="8" t="inlineStr">
        <is>
          <t>Y</t>
        </is>
      </c>
      <c r="S24" s="10">
        <f>IF(R24="Y",H24,0)</f>
        <v/>
      </c>
    </row>
    <row r="25">
      <c r="A25" s="8" t="inlineStr">
        <is>
          <t>3.2.3</t>
        </is>
      </c>
      <c r="B25" s="8" t="n"/>
      <c r="C25" s="8" t="n"/>
      <c r="D25" s="8" t="inlineStr">
        <is>
          <t>Backend integration tests</t>
        </is>
      </c>
      <c r="E25" s="9" t="n">
        <v>3</v>
      </c>
      <c r="F25" s="9" t="n">
        <v>4</v>
      </c>
      <c r="G25" s="9" t="n">
        <v>7</v>
      </c>
      <c r="H25" s="10">
        <f>(E25+4*F25+G25)/6</f>
        <v/>
      </c>
      <c r="I25" s="9" t="n">
        <v>3</v>
      </c>
      <c r="J25" s="9" t="n">
        <v>4</v>
      </c>
      <c r="K25" s="9" t="n">
        <v>7</v>
      </c>
      <c r="L25" s="10">
        <f>(I25+4*J25+K25)/6</f>
        <v/>
      </c>
      <c r="M25" s="10">
        <f>(K25-I25)/6</f>
        <v/>
      </c>
      <c r="N25" s="8" t="inlineStr">
        <is>
          <t>QA, BED</t>
        </is>
      </c>
      <c r="O25" s="8" t="inlineStr">
        <is>
          <t>3.1.2, 3.1.3</t>
        </is>
      </c>
      <c r="P25" s="8" t="inlineStr"/>
      <c r="Q25" s="8" t="inlineStr">
        <is>
          <t>API contract testing and regression suite</t>
        </is>
      </c>
      <c r="R25" s="8" t="inlineStr">
        <is>
          <t>Y</t>
        </is>
      </c>
      <c r="S25" s="10">
        <f>IF(R25="Y",H25,0)</f>
        <v/>
      </c>
    </row>
    <row r="26">
      <c r="A26" s="2" t="inlineStr">
        <is>
          <t>4</t>
        </is>
      </c>
      <c r="B26" s="2" t="inlineStr">
        <is>
          <t>Mobile Development</t>
        </is>
      </c>
      <c r="C26" s="2" t="n"/>
      <c r="D26" s="2" t="n"/>
      <c r="E26" s="3">
        <f>SUM(E28,E29,E30,E32,E33)</f>
        <v/>
      </c>
      <c r="F26" s="3">
        <f>SUM(F28,F29,F30,F32,F33)</f>
        <v/>
      </c>
      <c r="G26" s="3">
        <f>SUM(G28,G29,G30,G32,G33)</f>
        <v/>
      </c>
      <c r="H26" s="4">
        <f>(E26+4*F26+G26)/6</f>
        <v/>
      </c>
      <c r="I26" s="3">
        <f>SUM(I28,I29,I30,I32,I33)</f>
        <v/>
      </c>
      <c r="J26" s="3">
        <f>SUM(J28,J29,J30,J32,J33)</f>
        <v/>
      </c>
      <c r="K26" s="3">
        <f>SUM(K28,K29,K30,K32,K33)</f>
        <v/>
      </c>
      <c r="L26" s="4">
        <f>(I26+4*J26+K26)/6</f>
        <v/>
      </c>
      <c r="M26" s="4">
        <f>(K26-I26)/6</f>
        <v/>
      </c>
      <c r="N26" s="2" t="n"/>
      <c r="O26" s="2" t="n"/>
      <c r="P26" s="2" t="n"/>
      <c r="Q26" s="2" t="n"/>
      <c r="R26" s="2" t="n"/>
      <c r="S26" s="4">
        <f>SUM(S28,S29,S30,S32,S33)</f>
        <v/>
      </c>
    </row>
    <row r="27">
      <c r="A27" s="5" t="inlineStr">
        <is>
          <t>4.1</t>
        </is>
      </c>
      <c r="B27" s="5" t="n"/>
      <c r="C27" s="5" t="inlineStr">
        <is>
          <t>Core Features</t>
        </is>
      </c>
      <c r="D27" s="5" t="n"/>
      <c r="E27" s="6">
        <f>SUM(E28:E30)</f>
        <v/>
      </c>
      <c r="F27" s="6">
        <f>SUM(F28:F30)</f>
        <v/>
      </c>
      <c r="G27" s="6">
        <f>SUM(G28:G30)</f>
        <v/>
      </c>
      <c r="H27" s="7">
        <f>(E27+4*F27+G27)/6</f>
        <v/>
      </c>
      <c r="I27" s="6">
        <f>SUM(I28:I30)</f>
        <v/>
      </c>
      <c r="J27" s="6">
        <f>SUM(J28:J30)</f>
        <v/>
      </c>
      <c r="K27" s="6">
        <f>SUM(K28:K30)</f>
        <v/>
      </c>
      <c r="L27" s="7">
        <f>(I27+4*J27+K27)/6</f>
        <v/>
      </c>
      <c r="M27" s="7">
        <f>(K27-I27)/6</f>
        <v/>
      </c>
      <c r="N27" s="5" t="n"/>
      <c r="O27" s="5" t="n"/>
      <c r="P27" s="5" t="n"/>
      <c r="Q27" s="5" t="n"/>
      <c r="R27" s="5" t="n"/>
      <c r="S27" s="7">
        <f>SUM(S28:S30)</f>
        <v/>
      </c>
    </row>
    <row r="28">
      <c r="A28" s="8" t="inlineStr">
        <is>
          <t>4.1.1</t>
        </is>
      </c>
      <c r="B28" s="8" t="n"/>
      <c r="C28" s="8" t="n"/>
      <c r="D28" s="8" t="inlineStr">
        <is>
          <t>Offline data sync module</t>
        </is>
      </c>
      <c r="E28" s="9" t="n">
        <v>4</v>
      </c>
      <c r="F28" s="9" t="n">
        <v>6</v>
      </c>
      <c r="G28" s="9" t="n">
        <v>10</v>
      </c>
      <c r="H28" s="10">
        <f>(E28+4*F28+G28)/6</f>
        <v/>
      </c>
      <c r="I28" s="9" t="n">
        <v>4</v>
      </c>
      <c r="J28" s="9" t="n">
        <v>6</v>
      </c>
      <c r="K28" s="9" t="n">
        <v>10</v>
      </c>
      <c r="L28" s="10">
        <f>(I28+4*J28+K28)/6</f>
        <v/>
      </c>
      <c r="M28" s="10">
        <f>(K28-I28)/6</f>
        <v/>
      </c>
      <c r="N28" s="8" t="inlineStr">
        <is>
          <t>MOB</t>
        </is>
      </c>
      <c r="O28" s="8" t="inlineStr">
        <is>
          <t>3.1.2</t>
        </is>
      </c>
      <c r="P28" s="8" t="inlineStr">
        <is>
          <t>R2</t>
        </is>
      </c>
      <c r="Q28" s="8" t="inlineStr">
        <is>
          <t>SQLite local store, sync queue</t>
        </is>
      </c>
      <c r="R28" s="8" t="inlineStr">
        <is>
          <t>Y</t>
        </is>
      </c>
      <c r="S28" s="10">
        <f>IF(R28="Y",H28,0)</f>
        <v/>
      </c>
    </row>
    <row r="29">
      <c r="A29" s="8" t="inlineStr">
        <is>
          <t>4.1.2</t>
        </is>
      </c>
      <c r="B29" s="8" t="n"/>
      <c r="C29" s="8" t="n"/>
      <c r="D29" s="8" t="inlineStr">
        <is>
          <t>Work order UI</t>
        </is>
      </c>
      <c r="E29" s="9" t="n">
        <v>5</v>
      </c>
      <c r="F29" s="9" t="n">
        <v>7</v>
      </c>
      <c r="G29" s="9" t="n">
        <v>12</v>
      </c>
      <c r="H29" s="10">
        <f>(E29+4*F29+G29)/6</f>
        <v/>
      </c>
      <c r="I29" s="9" t="n">
        <v>5</v>
      </c>
      <c r="J29" s="9" t="n">
        <v>7</v>
      </c>
      <c r="K29" s="9" t="n">
        <v>12</v>
      </c>
      <c r="L29" s="10">
        <f>(I29+4*J29+K29)/6</f>
        <v/>
      </c>
      <c r="M29" s="10">
        <f>(K29-I29)/6</f>
        <v/>
      </c>
      <c r="N29" s="8" t="inlineStr">
        <is>
          <t>MOB</t>
        </is>
      </c>
      <c r="O29" s="8" t="inlineStr">
        <is>
          <t>2.2.3, 3.1.2</t>
        </is>
      </c>
      <c r="P29" s="8" t="inlineStr">
        <is>
          <t>R6</t>
        </is>
      </c>
      <c r="Q29" s="8" t="inlineStr">
        <is>
          <t>Create, view, update work orders on device</t>
        </is>
      </c>
      <c r="R29" s="8" t="inlineStr">
        <is>
          <t>Y</t>
        </is>
      </c>
      <c r="S29" s="10">
        <f>IF(R29="Y",H29,0)</f>
        <v/>
      </c>
    </row>
    <row r="30">
      <c r="A30" s="8" t="inlineStr">
        <is>
          <t>4.1.3</t>
        </is>
      </c>
      <c r="B30" s="8" t="n"/>
      <c r="C30" s="8" t="n"/>
      <c r="D30" s="8" t="inlineStr">
        <is>
          <t>Photo and signature capture</t>
        </is>
      </c>
      <c r="E30" s="9" t="n">
        <v>3</v>
      </c>
      <c r="F30" s="9" t="n">
        <v>4</v>
      </c>
      <c r="G30" s="9" t="n">
        <v>7</v>
      </c>
      <c r="H30" s="10">
        <f>(E30+4*F30+G30)/6</f>
        <v/>
      </c>
      <c r="I30" s="9" t="n">
        <v>3</v>
      </c>
      <c r="J30" s="9" t="n">
        <v>4</v>
      </c>
      <c r="K30" s="9" t="n">
        <v>7</v>
      </c>
      <c r="L30" s="10">
        <f>(I30+4*J30+K30)/6</f>
        <v/>
      </c>
      <c r="M30" s="10">
        <f>(K30-I30)/6</f>
        <v/>
      </c>
      <c r="N30" s="8" t="inlineStr">
        <is>
          <t>MOB</t>
        </is>
      </c>
      <c r="O30" s="8" t="inlineStr">
        <is>
          <t>4.1.2</t>
        </is>
      </c>
      <c r="P30" s="8" t="inlineStr">
        <is>
          <t>R6</t>
        </is>
      </c>
      <c r="Q30" s="8" t="inlineStr">
        <is>
          <t>Camera integration, signature pad</t>
        </is>
      </c>
      <c r="R30" s="8" t="inlineStr">
        <is>
          <t>Y</t>
        </is>
      </c>
      <c r="S30" s="10">
        <f>IF(R30="Y",H30,0)</f>
        <v/>
      </c>
    </row>
    <row r="31">
      <c r="A31" s="5" t="inlineStr">
        <is>
          <t>4.2</t>
        </is>
      </c>
      <c r="B31" s="5" t="n"/>
      <c r="C31" s="5" t="inlineStr">
        <is>
          <t>Integration and Testing</t>
        </is>
      </c>
      <c r="D31" s="5" t="n"/>
      <c r="E31" s="6">
        <f>SUM(E32:E33)</f>
        <v/>
      </c>
      <c r="F31" s="6">
        <f>SUM(F32:F33)</f>
        <v/>
      </c>
      <c r="G31" s="6">
        <f>SUM(G32:G33)</f>
        <v/>
      </c>
      <c r="H31" s="7">
        <f>(E31+4*F31+G31)/6</f>
        <v/>
      </c>
      <c r="I31" s="6">
        <f>SUM(I32:I33)</f>
        <v/>
      </c>
      <c r="J31" s="6">
        <f>SUM(J32:J33)</f>
        <v/>
      </c>
      <c r="K31" s="6">
        <f>SUM(K32:K33)</f>
        <v/>
      </c>
      <c r="L31" s="7">
        <f>(I31+4*J31+K31)/6</f>
        <v/>
      </c>
      <c r="M31" s="7">
        <f>(K31-I31)/6</f>
        <v/>
      </c>
      <c r="N31" s="5" t="n"/>
      <c r="O31" s="5" t="n"/>
      <c r="P31" s="5" t="n"/>
      <c r="Q31" s="5" t="n"/>
      <c r="R31" s="5" t="n"/>
      <c r="S31" s="7">
        <f>SUM(S32:S33)</f>
        <v/>
      </c>
    </row>
    <row r="32">
      <c r="A32" s="8" t="inlineStr">
        <is>
          <t>4.2.1</t>
        </is>
      </c>
      <c r="B32" s="8" t="n"/>
      <c r="C32" s="8" t="n"/>
      <c r="D32" s="8" t="inlineStr">
        <is>
          <t>Backend integration</t>
        </is>
      </c>
      <c r="E32" s="9" t="n">
        <v>3</v>
      </c>
      <c r="F32" s="9" t="n">
        <v>5</v>
      </c>
      <c r="G32" s="9" t="n">
        <v>8</v>
      </c>
      <c r="H32" s="10">
        <f>(E32+4*F32+G32)/6</f>
        <v/>
      </c>
      <c r="I32" s="9" t="n">
        <v>3</v>
      </c>
      <c r="J32" s="9" t="n">
        <v>5</v>
      </c>
      <c r="K32" s="9" t="n">
        <v>8</v>
      </c>
      <c r="L32" s="10">
        <f>(I32+4*J32+K32)/6</f>
        <v/>
      </c>
      <c r="M32" s="10">
        <f>(K32-I32)/6</f>
        <v/>
      </c>
      <c r="N32" s="8" t="inlineStr">
        <is>
          <t>MOB, BED</t>
        </is>
      </c>
      <c r="O32" s="8" t="inlineStr">
        <is>
          <t>4.1.1, 3.2.2</t>
        </is>
      </c>
      <c r="P32" s="8" t="inlineStr">
        <is>
          <t>R2</t>
        </is>
      </c>
      <c r="Q32" s="8" t="inlineStr">
        <is>
          <t>End-to-end API wiring with mobile app</t>
        </is>
      </c>
      <c r="R32" s="8" t="inlineStr">
        <is>
          <t>Y</t>
        </is>
      </c>
      <c r="S32" s="10">
        <f>IF(R32="Y",H32,0)</f>
        <v/>
      </c>
    </row>
    <row r="33">
      <c r="A33" s="8" t="inlineStr">
        <is>
          <t>4.2.2</t>
        </is>
      </c>
      <c r="B33" s="8" t="n"/>
      <c r="C33" s="8" t="n"/>
      <c r="D33" s="8" t="inlineStr">
        <is>
          <t>Mobile E2E testing</t>
        </is>
      </c>
      <c r="E33" s="9" t="n">
        <v>4</v>
      </c>
      <c r="F33" s="9" t="n">
        <v>5</v>
      </c>
      <c r="G33" s="9" t="n">
        <v>8</v>
      </c>
      <c r="H33" s="10">
        <f>(E33+4*F33+G33)/6</f>
        <v/>
      </c>
      <c r="I33" s="9" t="n">
        <v>4</v>
      </c>
      <c r="J33" s="9" t="n">
        <v>5</v>
      </c>
      <c r="K33" s="9" t="n">
        <v>8</v>
      </c>
      <c r="L33" s="10">
        <f>(I33+4*J33+K33)/6</f>
        <v/>
      </c>
      <c r="M33" s="10">
        <f>(K33-I33)/6</f>
        <v/>
      </c>
      <c r="N33" s="8" t="inlineStr">
        <is>
          <t>QA</t>
        </is>
      </c>
      <c r="O33" s="8" t="inlineStr">
        <is>
          <t>4.1.3, 4.2.1</t>
        </is>
      </c>
      <c r="P33" s="8" t="inlineStr">
        <is>
          <t>R6</t>
        </is>
      </c>
      <c r="Q33" s="8" t="inlineStr">
        <is>
          <t>Device farm, iOS + Android regression</t>
        </is>
      </c>
      <c r="R33" s="8" t="inlineStr">
        <is>
          <t>Y</t>
        </is>
      </c>
      <c r="S33" s="10">
        <f>IF(R33="Y",H33,0)</f>
        <v/>
      </c>
    </row>
    <row r="34">
      <c r="A34" s="2" t="inlineStr">
        <is>
          <t>5</t>
        </is>
      </c>
      <c r="B34" s="2" t="inlineStr">
        <is>
          <t>Launch</t>
        </is>
      </c>
      <c r="C34" s="2" t="n"/>
      <c r="D34" s="2" t="n"/>
      <c r="E34" s="3">
        <f>SUM(E36,E37,E38)</f>
        <v/>
      </c>
      <c r="F34" s="3">
        <f>SUM(F36,F37,F38)</f>
        <v/>
      </c>
      <c r="G34" s="3">
        <f>SUM(G36,G37,G38)</f>
        <v/>
      </c>
      <c r="H34" s="4">
        <f>(E34+4*F34+G34)/6</f>
        <v/>
      </c>
      <c r="I34" s="3">
        <f>SUM(I36,I37,I38)</f>
        <v/>
      </c>
      <c r="J34" s="3">
        <f>SUM(J36,J37,J38)</f>
        <v/>
      </c>
      <c r="K34" s="3">
        <f>SUM(K36,K37,K38)</f>
        <v/>
      </c>
      <c r="L34" s="4">
        <f>(I34+4*J34+K34)/6</f>
        <v/>
      </c>
      <c r="M34" s="4">
        <f>(K34-I34)/6</f>
        <v/>
      </c>
      <c r="N34" s="2" t="n"/>
      <c r="O34" s="2" t="n"/>
      <c r="P34" s="2" t="n"/>
      <c r="Q34" s="2" t="n"/>
      <c r="R34" s="2" t="n"/>
      <c r="S34" s="4">
        <f>SUM(S36,S37,S38)</f>
        <v/>
      </c>
    </row>
    <row r="35">
      <c r="A35" s="5" t="inlineStr">
        <is>
          <t>5.1</t>
        </is>
      </c>
      <c r="B35" s="5" t="n"/>
      <c r="C35" s="5" t="inlineStr">
        <is>
          <t>Release</t>
        </is>
      </c>
      <c r="D35" s="5" t="n"/>
      <c r="E35" s="6">
        <f>SUM(E36:E38)</f>
        <v/>
      </c>
      <c r="F35" s="6">
        <f>SUM(F36:F38)</f>
        <v/>
      </c>
      <c r="G35" s="6">
        <f>SUM(G36:G38)</f>
        <v/>
      </c>
      <c r="H35" s="7">
        <f>(E35+4*F35+G35)/6</f>
        <v/>
      </c>
      <c r="I35" s="6">
        <f>SUM(I36:I38)</f>
        <v/>
      </c>
      <c r="J35" s="6">
        <f>SUM(J36:J38)</f>
        <v/>
      </c>
      <c r="K35" s="6">
        <f>SUM(K36:K38)</f>
        <v/>
      </c>
      <c r="L35" s="7">
        <f>(I35+4*J35+K35)/6</f>
        <v/>
      </c>
      <c r="M35" s="7">
        <f>(K35-I35)/6</f>
        <v/>
      </c>
      <c r="N35" s="5" t="n"/>
      <c r="O35" s="5" t="n"/>
      <c r="P35" s="5" t="n"/>
      <c r="Q35" s="5" t="n"/>
      <c r="R35" s="5" t="n"/>
      <c r="S35" s="7">
        <f>SUM(S36:S38)</f>
        <v/>
      </c>
    </row>
    <row r="36">
      <c r="A36" s="8" t="inlineStr">
        <is>
          <t>5.1.1</t>
        </is>
      </c>
      <c r="B36" s="8" t="n"/>
      <c r="C36" s="8" t="n"/>
      <c r="D36" s="8" t="inlineStr">
        <is>
          <t>App store submission</t>
        </is>
      </c>
      <c r="E36" s="9" t="n">
        <v>2</v>
      </c>
      <c r="F36" s="9" t="n">
        <v>3</v>
      </c>
      <c r="G36" s="9" t="n">
        <v>5</v>
      </c>
      <c r="H36" s="10">
        <f>(E36+4*F36+G36)/6</f>
        <v/>
      </c>
      <c r="I36" s="9" t="n">
        <v>2</v>
      </c>
      <c r="J36" s="9" t="n">
        <v>3</v>
      </c>
      <c r="K36" s="9" t="n">
        <v>5</v>
      </c>
      <c r="L36" s="10">
        <f>(I36+4*J36+K36)/6</f>
        <v/>
      </c>
      <c r="M36" s="10">
        <f>(K36-I36)/6</f>
        <v/>
      </c>
      <c r="N36" s="8" t="inlineStr">
        <is>
          <t>MOB, PO</t>
        </is>
      </c>
      <c r="O36" s="8" t="inlineStr">
        <is>
          <t>4.2.2</t>
        </is>
      </c>
      <c r="P36" s="8" t="inlineStr">
        <is>
          <t>R1</t>
        </is>
      </c>
      <c r="Q36" s="8" t="inlineStr">
        <is>
          <t>iOS App Store + Google Play submission</t>
        </is>
      </c>
      <c r="R36" s="8" t="inlineStr">
        <is>
          <t>Y</t>
        </is>
      </c>
      <c r="S36" s="10">
        <f>IF(R36="Y",H36,0)</f>
        <v/>
      </c>
    </row>
    <row r="37">
      <c r="A37" s="8" t="inlineStr">
        <is>
          <t>5.1.2</t>
        </is>
      </c>
      <c r="B37" s="8" t="n"/>
      <c r="C37" s="8" t="n"/>
      <c r="D37" s="8" t="inlineStr">
        <is>
          <t>UAT with pilot users</t>
        </is>
      </c>
      <c r="E37" s="9" t="n">
        <v>3</v>
      </c>
      <c r="F37" s="9" t="n">
        <v>4</v>
      </c>
      <c r="G37" s="9" t="n">
        <v>6</v>
      </c>
      <c r="H37" s="10">
        <f>(E37+4*F37+G37)/6</f>
        <v/>
      </c>
      <c r="I37" s="9" t="n">
        <v>3</v>
      </c>
      <c r="J37" s="9" t="n">
        <v>4</v>
      </c>
      <c r="K37" s="9" t="n">
        <v>6</v>
      </c>
      <c r="L37" s="10">
        <f>(I37+4*J37+K37)/6</f>
        <v/>
      </c>
      <c r="M37" s="10">
        <f>(K37-I37)/6</f>
        <v/>
      </c>
      <c r="N37" s="8" t="inlineStr">
        <is>
          <t>QA, PO</t>
        </is>
      </c>
      <c r="O37" s="8" t="inlineStr">
        <is>
          <t>5.1.1</t>
        </is>
      </c>
      <c r="P37" s="8" t="inlineStr">
        <is>
          <t>R5</t>
        </is>
      </c>
      <c r="Q37" s="8" t="inlineStr">
        <is>
          <t>Pilot group of 10 field technicians</t>
        </is>
      </c>
      <c r="R37" s="8" t="inlineStr">
        <is>
          <t>Y</t>
        </is>
      </c>
      <c r="S37" s="10">
        <f>IF(R37="Y",H37,0)</f>
        <v/>
      </c>
    </row>
    <row r="38">
      <c r="A38" s="8" t="inlineStr">
        <is>
          <t>5.1.3</t>
        </is>
      </c>
      <c r="B38" s="8" t="n"/>
      <c r="C38" s="8" t="n"/>
      <c r="D38" s="8" t="inlineStr">
        <is>
          <t>Go-live and monitoring</t>
        </is>
      </c>
      <c r="E38" s="9" t="n">
        <v>2</v>
      </c>
      <c r="F38" s="9" t="n">
        <v>3</v>
      </c>
      <c r="G38" s="9" t="n">
        <v>5</v>
      </c>
      <c r="H38" s="10">
        <f>(E38+4*F38+G38)/6</f>
        <v/>
      </c>
      <c r="I38" s="9" t="n">
        <v>2</v>
      </c>
      <c r="J38" s="9" t="n">
        <v>3</v>
      </c>
      <c r="K38" s="9" t="n">
        <v>5</v>
      </c>
      <c r="L38" s="10">
        <f>(I38+4*J38+K38)/6</f>
        <v/>
      </c>
      <c r="M38" s="10">
        <f>(K38-I38)/6</f>
        <v/>
      </c>
      <c r="N38" s="8" t="inlineStr">
        <is>
          <t>BED, MOB</t>
        </is>
      </c>
      <c r="O38" s="8" t="inlineStr">
        <is>
          <t>5.1.2</t>
        </is>
      </c>
      <c r="P38" s="8" t="inlineStr"/>
      <c r="Q38" s="8" t="inlineStr">
        <is>
          <t>Production deployment, alerting dashboards</t>
        </is>
      </c>
      <c r="R38" s="8" t="inlineStr">
        <is>
          <t>Y</t>
        </is>
      </c>
      <c r="S38" s="10">
        <f>IF(R38="Y",H38,0)</f>
        <v/>
      </c>
    </row>
    <row r="39">
      <c r="A39" s="11" t="inlineStr">
        <is>
          <t>TOTAL</t>
        </is>
      </c>
      <c r="B39" s="11" t="n"/>
      <c r="C39" s="11" t="n"/>
      <c r="D39" s="11" t="n"/>
      <c r="E39" s="12">
        <f>SUM(E2,E9,E17,E26,E34)</f>
        <v/>
      </c>
      <c r="F39" s="12">
        <f>SUM(F2,F9,F17,F26,F34)</f>
        <v/>
      </c>
      <c r="G39" s="12">
        <f>SUM(G2,G9,G17,G26,G34)</f>
        <v/>
      </c>
      <c r="H39" s="13">
        <f>SUM(H2,H9,H17,H26,H34)</f>
        <v/>
      </c>
      <c r="I39" s="12">
        <f>SUM(I2,I9,I17,I26,I34)</f>
        <v/>
      </c>
      <c r="J39" s="12">
        <f>SUM(J2,J9,J17,J26,J34)</f>
        <v/>
      </c>
      <c r="K39" s="12">
        <f>SUM(K2,K9,K17,K26,K34)</f>
        <v/>
      </c>
      <c r="L39" s="13">
        <f>SUM(L2,L9,L17,L26,L34)</f>
        <v/>
      </c>
      <c r="M39" s="13">
        <f>SUM(M2,M9,M17,M26,M34)</f>
        <v/>
      </c>
      <c r="N39" s="11" t="n"/>
      <c r="O39" s="11" t="n"/>
      <c r="P39" s="11" t="n"/>
      <c r="Q39" s="11" t="n"/>
      <c r="R39" s="11" t="n"/>
      <c r="S39" s="13">
        <f>SUM(S2,S9,S17,S26,S34)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</cols>
  <sheetData>
    <row r="1">
      <c r="A1" s="1" t="inlineStr">
        <is>
          <t>Role</t>
        </is>
      </c>
      <c r="B1" s="1" t="inlineStr">
        <is>
          <t>Code</t>
        </is>
      </c>
      <c r="C1" s="1" t="inlineStr">
        <is>
          <t>Type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4" t="inlineStr">
        <is>
          <t>W9</t>
        </is>
      </c>
      <c r="M1" s="14" t="inlineStr">
        <is>
          <t>W10</t>
        </is>
      </c>
      <c r="N1" s="14" t="inlineStr">
        <is>
          <t>W11</t>
        </is>
      </c>
      <c r="O1" s="14" t="inlineStr">
        <is>
          <t>W12</t>
        </is>
      </c>
      <c r="P1" s="14" t="inlineStr">
        <is>
          <t>W13</t>
        </is>
      </c>
      <c r="Q1" s="14" t="inlineStr">
        <is>
          <t>W14</t>
        </is>
      </c>
      <c r="R1" s="14" t="inlineStr">
        <is>
          <t>W15</t>
        </is>
      </c>
      <c r="S1" s="14" t="inlineStr">
        <is>
          <t>W16</t>
        </is>
      </c>
      <c r="T1" s="1" t="inlineStr">
        <is>
          <t>TOTAL (PD)</t>
        </is>
      </c>
    </row>
    <row r="2">
      <c r="C2" s="15" t="inlineStr">
        <is>
          <t>Week of</t>
        </is>
      </c>
      <c r="D2" s="15" t="inlineStr">
        <is>
          <t>2026-07-01</t>
        </is>
      </c>
      <c r="E2" s="15" t="inlineStr">
        <is>
          <t>2026-07-08</t>
        </is>
      </c>
      <c r="F2" s="15" t="inlineStr">
        <is>
          <t>2026-07-15</t>
        </is>
      </c>
      <c r="G2" s="15" t="inlineStr">
        <is>
          <t>2026-07-22</t>
        </is>
      </c>
      <c r="H2" s="15" t="inlineStr">
        <is>
          <t>2026-07-29</t>
        </is>
      </c>
      <c r="I2" s="15" t="inlineStr">
        <is>
          <t>2026-08-05</t>
        </is>
      </c>
      <c r="J2" s="15" t="inlineStr">
        <is>
          <t>2026-08-12</t>
        </is>
      </c>
      <c r="K2" s="15" t="inlineStr">
        <is>
          <t>2026-08-19</t>
        </is>
      </c>
      <c r="L2" s="15" t="inlineStr">
        <is>
          <t>2026-08-26</t>
        </is>
      </c>
      <c r="M2" s="15" t="inlineStr">
        <is>
          <t>2026-09-02</t>
        </is>
      </c>
      <c r="N2" s="15" t="inlineStr">
        <is>
          <t>2026-09-09</t>
        </is>
      </c>
      <c r="O2" s="15" t="inlineStr">
        <is>
          <t>2026-09-16</t>
        </is>
      </c>
      <c r="P2" s="15" t="inlineStr">
        <is>
          <t>2026-09-23</t>
        </is>
      </c>
      <c r="Q2" s="15" t="inlineStr">
        <is>
          <t>2026-09-30</t>
        </is>
      </c>
      <c r="R2" s="15" t="inlineStr">
        <is>
          <t>2026-10-07</t>
        </is>
      </c>
      <c r="S2" s="15" t="inlineStr">
        <is>
          <t>2026-10-14</t>
        </is>
      </c>
    </row>
    <row r="3">
      <c r="A3" t="inlineStr">
        <is>
          <t>Backend Dev</t>
        </is>
      </c>
      <c r="B3" t="inlineStr">
        <is>
          <t>BED</t>
        </is>
      </c>
      <c r="C3" t="inlineStr">
        <is>
          <t>billable</t>
        </is>
      </c>
      <c r="D3" s="16" t="n">
        <v>1.58</v>
      </c>
      <c r="E3" s="16" t="n">
        <v>1.58</v>
      </c>
      <c r="F3" s="16" t="n">
        <v>0</v>
      </c>
      <c r="G3" s="16" t="n">
        <v>0</v>
      </c>
      <c r="H3" s="16" t="n">
        <v>0</v>
      </c>
      <c r="I3" s="17" t="n">
        <v>5.21</v>
      </c>
      <c r="J3" s="17" t="n">
        <v>5.21</v>
      </c>
      <c r="K3" s="17" t="n">
        <v>5.21</v>
      </c>
      <c r="L3" s="17" t="n">
        <v>5.21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1.58</v>
      </c>
      <c r="S3" s="16" t="n">
        <v>1.58</v>
      </c>
      <c r="T3" s="18">
        <f>SUM(D3:S3)</f>
        <v/>
      </c>
    </row>
    <row r="4">
      <c r="A4" t="inlineStr">
        <is>
          <t>Mobile Dev</t>
        </is>
      </c>
      <c r="B4" t="inlineStr">
        <is>
          <t>MOB</t>
        </is>
      </c>
      <c r="C4" t="inlineStr">
        <is>
          <t>billable</t>
        </is>
      </c>
      <c r="D4" s="16" t="n">
        <v>1</v>
      </c>
      <c r="E4" s="16" t="n">
        <v>1</v>
      </c>
      <c r="F4" s="19" t="n">
        <v>4.83</v>
      </c>
      <c r="G4" s="19" t="n">
        <v>4.83</v>
      </c>
      <c r="H4" s="19" t="n">
        <v>4.83</v>
      </c>
      <c r="I4" s="16" t="n">
        <v>0</v>
      </c>
      <c r="J4" s="16" t="n">
        <v>0</v>
      </c>
      <c r="K4" s="16" t="n">
        <v>0</v>
      </c>
      <c r="L4" s="16" t="n">
        <v>0</v>
      </c>
      <c r="M4" s="19" t="n">
        <v>4.67</v>
      </c>
      <c r="N4" s="19" t="n">
        <v>4.67</v>
      </c>
      <c r="O4" s="19" t="n">
        <v>4.67</v>
      </c>
      <c r="P4" s="19" t="n">
        <v>4.67</v>
      </c>
      <c r="Q4" s="19" t="n">
        <v>4.67</v>
      </c>
      <c r="R4" s="16" t="n">
        <v>1.58</v>
      </c>
      <c r="S4" s="16" t="n">
        <v>1.58</v>
      </c>
      <c r="T4" s="18">
        <f>SUM(D4:S4)</f>
        <v/>
      </c>
    </row>
    <row r="5">
      <c r="A5" t="inlineStr">
        <is>
          <t>Product Owner</t>
        </is>
      </c>
      <c r="B5" t="inlineStr">
        <is>
          <t>PO</t>
        </is>
      </c>
      <c r="C5" t="inlineStr">
        <is>
          <t>billable</t>
        </is>
      </c>
      <c r="D5" s="19" t="n">
        <v>4.75</v>
      </c>
      <c r="E5" s="19" t="n">
        <v>4.75</v>
      </c>
      <c r="F5" s="16" t="n">
        <v>2.11</v>
      </c>
      <c r="G5" s="16" t="n">
        <v>2.11</v>
      </c>
      <c r="H5" s="16" t="n">
        <v>2.11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8">
        <f>SUM(D5:S5)</f>
        <v/>
      </c>
    </row>
    <row r="6">
      <c r="A6" t="inlineStr">
        <is>
          <t>QA Engineer</t>
        </is>
      </c>
      <c r="B6" t="inlineStr">
        <is>
          <t>QA</t>
        </is>
      </c>
      <c r="C6" t="inlineStr">
        <is>
          <t>billable</t>
        </is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1.08</v>
      </c>
      <c r="J6" s="16" t="n">
        <v>1.08</v>
      </c>
      <c r="K6" s="16" t="n">
        <v>1.08</v>
      </c>
      <c r="L6" s="16" t="n">
        <v>1.08</v>
      </c>
      <c r="M6" s="16" t="n">
        <v>1.07</v>
      </c>
      <c r="N6" s="16" t="n">
        <v>1.07</v>
      </c>
      <c r="O6" s="16" t="n">
        <v>1.07</v>
      </c>
      <c r="P6" s="16" t="n">
        <v>1.07</v>
      </c>
      <c r="Q6" s="16" t="n">
        <v>1.07</v>
      </c>
      <c r="R6" s="16" t="n">
        <v>2.08</v>
      </c>
      <c r="S6" s="16" t="n">
        <v>2.08</v>
      </c>
      <c r="T6" s="18">
        <f>SUM(D6:S6)</f>
        <v/>
      </c>
    </row>
    <row r="7">
      <c r="A7" s="11" t="inlineStr">
        <is>
          <t>Weekly TOTAL</t>
        </is>
      </c>
      <c r="D7" s="12">
        <f>SUM(D3:D6)</f>
        <v/>
      </c>
      <c r="E7" s="12">
        <f>SUM(E3:E6)</f>
        <v/>
      </c>
      <c r="F7" s="12">
        <f>SUM(F3:F6)</f>
        <v/>
      </c>
      <c r="G7" s="12">
        <f>SUM(G3:G6)</f>
        <v/>
      </c>
      <c r="H7" s="12">
        <f>SUM(H3:H6)</f>
        <v/>
      </c>
      <c r="I7" s="12">
        <f>SUM(I3:I6)</f>
        <v/>
      </c>
      <c r="J7" s="12">
        <f>SUM(J3:J6)</f>
        <v/>
      </c>
      <c r="K7" s="12">
        <f>SUM(K3:K6)</f>
        <v/>
      </c>
      <c r="L7" s="12">
        <f>SUM(L3:L6)</f>
        <v/>
      </c>
      <c r="M7" s="12">
        <f>SUM(M3:M6)</f>
        <v/>
      </c>
      <c r="N7" s="12">
        <f>SUM(N3:N6)</f>
        <v/>
      </c>
      <c r="O7" s="12">
        <f>SUM(O3:O6)</f>
        <v/>
      </c>
      <c r="P7" s="12">
        <f>SUM(P3:P6)</f>
        <v/>
      </c>
      <c r="Q7" s="12">
        <f>SUM(Q3:Q6)</f>
        <v/>
      </c>
      <c r="R7" s="12">
        <f>SUM(R3:R6)</f>
        <v/>
      </c>
      <c r="S7" s="12">
        <f>SUM(S3:S6)</f>
        <v/>
      </c>
      <c r="T7" s="12">
        <f>SUM(D7:S7)</f>
        <v/>
      </c>
    </row>
    <row r="9">
      <c r="A9" s="20" t="inlineStr">
        <is>
          <t>Capacity Warnings</t>
        </is>
      </c>
    </row>
    <row r="10">
      <c r="A10" t="inlineStr">
        <is>
          <t>Overcommit: W6 (BED) (5.2 PD vs 5.0 PD capacity)</t>
        </is>
      </c>
    </row>
    <row r="11">
      <c r="A11" t="inlineStr">
        <is>
          <t>Overcommit: W7 (BED) (5.2 PD vs 5.0 PD capacity)</t>
        </is>
      </c>
    </row>
    <row r="12">
      <c r="A12" t="inlineStr">
        <is>
          <t>Overcommit: W8 (BED) (5.2 PD vs 5.0 PD capacity)</t>
        </is>
      </c>
    </row>
    <row r="13">
      <c r="A13" t="inlineStr">
        <is>
          <t>Overcommit: W9 (BED) (5.2 PD vs 5.0 PD capacity)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(pd)</t>
        </is>
      </c>
      <c r="M1" s="1" t="inlineStr">
        <is>
          <t>Contingency Cost</t>
        </is>
      </c>
    </row>
    <row r="2">
      <c r="A2" t="inlineStr">
        <is>
          <t>R1</t>
        </is>
      </c>
      <c r="B2" t="inlineStr">
        <is>
          <t>App store approval delays</t>
        </is>
      </c>
      <c r="C2" t="inlineStr">
        <is>
          <t>External</t>
        </is>
      </c>
      <c r="D2" t="inlineStr">
        <is>
          <t>5</t>
        </is>
      </c>
      <c r="E2" t="n">
        <v>3</v>
      </c>
      <c r="F2" t="n">
        <v>3</v>
      </c>
      <c r="G2">
        <f>E2*F2</f>
        <v/>
      </c>
      <c r="H2">
        <f>IF(G2&gt;=15,"CRITICAL",IF(G2&gt;=10,"HIGH",IF(G2&gt;=5,"MEDIUM","LOW")))</f>
        <v/>
      </c>
      <c r="I2" t="inlineStr">
        <is>
          <t>Mitigate</t>
        </is>
      </c>
      <c r="J2" t="inlineStr">
        <is>
          <t>Submit early, prepare review guidelines, use TestFlight/internal track first</t>
        </is>
      </c>
      <c r="K2" t="inlineStr">
        <is>
          <t>MOB</t>
        </is>
      </c>
      <c r="L2" t="n">
        <v>3</v>
      </c>
      <c r="M2">
        <f>L2*550</f>
        <v/>
      </c>
    </row>
    <row r="3">
      <c r="A3" s="21" t="inlineStr">
        <is>
          <t>R2</t>
        </is>
      </c>
      <c r="B3" s="21" t="inlineStr">
        <is>
          <t>Offline sync complexity underestimated</t>
        </is>
      </c>
      <c r="C3" s="21" t="inlineStr">
        <is>
          <t>Technical</t>
        </is>
      </c>
      <c r="D3" s="21" t="inlineStr">
        <is>
          <t>3, 4</t>
        </is>
      </c>
      <c r="E3" s="21" t="n">
        <v>4</v>
      </c>
      <c r="F3" s="21" t="n">
        <v>5</v>
      </c>
      <c r="G3" s="21">
        <f>E3*F3</f>
        <v/>
      </c>
      <c r="H3" s="21">
        <f>IF(G3&gt;=15,"CRITICAL",IF(G3&gt;=10,"HIGH",IF(G3&gt;=5,"MEDIUM","LOW")))</f>
        <v/>
      </c>
      <c r="I3" s="21" t="inlineStr">
        <is>
          <t>Mitigate</t>
        </is>
      </c>
      <c r="J3" s="21" t="inlineStr">
        <is>
          <t>Proof-of-concept spike in Discovery; adopt proven sync library</t>
        </is>
      </c>
      <c r="K3" s="21" t="inlineStr">
        <is>
          <t>BED</t>
        </is>
      </c>
      <c r="L3" s="21" t="n">
        <v>8</v>
      </c>
      <c r="M3" s="21">
        <f>L3*550</f>
        <v/>
      </c>
    </row>
    <row r="4">
      <c r="A4" s="21" t="inlineStr">
        <is>
          <t>R3</t>
        </is>
      </c>
      <c r="B4" s="21" t="inlineStr">
        <is>
          <t>Key mobile developer unavailability</t>
        </is>
      </c>
      <c r="C4" s="21" t="inlineStr">
        <is>
          <t>Organizational</t>
        </is>
      </c>
      <c r="D4" s="21" t="inlineStr">
        <is>
          <t>4</t>
        </is>
      </c>
      <c r="E4" s="21" t="n">
        <v>2</v>
      </c>
      <c r="F4" s="21" t="n">
        <v>5</v>
      </c>
      <c r="G4" s="21">
        <f>E4*F4</f>
        <v/>
      </c>
      <c r="H4" s="21">
        <f>IF(G4&gt;=15,"CRITICAL",IF(G4&gt;=10,"HIGH",IF(G4&gt;=5,"MEDIUM","LOW")))</f>
        <v/>
      </c>
      <c r="I4" s="21" t="inlineStr">
        <is>
          <t>Mitigate</t>
        </is>
      </c>
      <c r="J4" s="21" t="inlineStr">
        <is>
          <t>Cross-train backend developer on mobile framework</t>
        </is>
      </c>
      <c r="K4" s="21" t="inlineStr">
        <is>
          <t>PO</t>
        </is>
      </c>
      <c r="L4" s="21" t="n">
        <v>10</v>
      </c>
      <c r="M4" s="21">
        <f>L4*550</f>
        <v/>
      </c>
    </row>
    <row r="5">
      <c r="A5" t="inlineStr">
        <is>
          <t>R4</t>
        </is>
      </c>
      <c r="B5" t="inlineStr">
        <is>
          <t>Third-party push notification service outage</t>
        </is>
      </c>
      <c r="C5" t="inlineStr">
        <is>
          <t>External</t>
        </is>
      </c>
      <c r="D5" t="inlineStr">
        <is>
          <t>3</t>
        </is>
      </c>
      <c r="E5" t="n">
        <v>2</v>
      </c>
      <c r="F5" t="n">
        <v>3</v>
      </c>
      <c r="G5">
        <f>E5*F5</f>
        <v/>
      </c>
      <c r="H5">
        <f>IF(G5&gt;=15,"CRITICAL",IF(G5&gt;=10,"HIGH",IF(G5&gt;=5,"MEDIUM","LOW")))</f>
        <v/>
      </c>
      <c r="I5" t="inlineStr">
        <is>
          <t>Accept</t>
        </is>
      </c>
      <c r="J5" t="inlineStr">
        <is>
          <t>Monitor SLA; have fallback polling mechanism ready</t>
        </is>
      </c>
      <c r="K5" t="inlineStr">
        <is>
          <t>BED</t>
        </is>
      </c>
      <c r="L5" t="n">
        <v>2</v>
      </c>
      <c r="M5">
        <f>L5*550</f>
        <v/>
      </c>
    </row>
    <row r="6">
      <c r="A6" s="21" t="inlineStr">
        <is>
          <t>R5</t>
        </is>
      </c>
      <c r="B6" s="21" t="inlineStr">
        <is>
          <t>Scope creep from stakeholder change requests</t>
        </is>
      </c>
      <c r="C6" s="21" t="inlineStr">
        <is>
          <t>Organizational</t>
        </is>
      </c>
      <c r="D6" s="21" t="inlineStr">
        <is>
          <t>1, 2, 5</t>
        </is>
      </c>
      <c r="E6" s="21" t="n">
        <v>4</v>
      </c>
      <c r="F6" s="21" t="n">
        <v>4</v>
      </c>
      <c r="G6" s="21">
        <f>E6*F6</f>
        <v/>
      </c>
      <c r="H6" s="21">
        <f>IF(G6&gt;=15,"CRITICAL",IF(G6&gt;=10,"HIGH",IF(G6&gt;=5,"MEDIUM","LOW")))</f>
        <v/>
      </c>
      <c r="I6" s="21" t="inlineStr">
        <is>
          <t>Mitigate</t>
        </is>
      </c>
      <c r="J6" s="21" t="inlineStr">
        <is>
          <t>Formal change control process; freeze scope after Phase 2</t>
        </is>
      </c>
      <c r="K6" s="21" t="inlineStr">
        <is>
          <t>PO</t>
        </is>
      </c>
      <c r="L6" s="21" t="n">
        <v>6</v>
      </c>
      <c r="M6" s="21">
        <f>L6*550</f>
        <v/>
      </c>
    </row>
    <row r="7">
      <c r="A7" t="inlineStr">
        <is>
          <t>R6</t>
        </is>
      </c>
      <c r="B7" t="inlineStr">
        <is>
          <t>iOS/Android compatibility fragmentation issues</t>
        </is>
      </c>
      <c r="C7" t="inlineStr">
        <is>
          <t>Technical</t>
        </is>
      </c>
      <c r="D7" t="inlineStr">
        <is>
          <t>4</t>
        </is>
      </c>
      <c r="E7" t="n">
        <v>3</v>
      </c>
      <c r="F7" t="n">
        <v>3</v>
      </c>
      <c r="G7">
        <f>E7*F7</f>
        <v/>
      </c>
      <c r="H7">
        <f>IF(G7&gt;=15,"CRITICAL",IF(G7&gt;=10,"HIGH",IF(G7&gt;=5,"MEDIUM","LOW")))</f>
        <v/>
      </c>
      <c r="I7" t="inlineStr">
        <is>
          <t>Mitigate</t>
        </is>
      </c>
      <c r="J7" t="inlineStr">
        <is>
          <t>Test on device farm from Phase 4 start; target OS versions ≥ iOS 15 / Android 11</t>
        </is>
      </c>
      <c r="K7" t="inlineStr">
        <is>
          <t>MOB</t>
        </is>
      </c>
      <c r="L7" t="n">
        <v>4</v>
      </c>
      <c r="M7">
        <f>L7*550</f>
        <v/>
      </c>
    </row>
    <row r="9">
      <c r="A9" s="11" t="inlineStr">
        <is>
          <t>TOTAL</t>
        </is>
      </c>
      <c r="L9" s="11">
        <f>SUM(L2:L7)</f>
        <v/>
      </c>
      <c r="M9" s="11">
        <f>SUM(M2:M7)</f>
        <v/>
      </c>
    </row>
    <row r="10">
      <c r="A10" t="inlineStr">
        <is>
          <t>Management Reserve</t>
        </is>
      </c>
      <c r="L10">
        <f>(WBS!H39*(1+0.1+0.05)+L9)*0.1</f>
        <v/>
      </c>
      <c r="M10">
        <f>(WBS!H39*(1+0.1+0.05)+L9)*0.1*550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(pd)</t>
        </is>
      </c>
      <c r="D1" s="1" t="inlineStr">
        <is>
          <t>Likely Effort (pd)</t>
        </is>
      </c>
      <c r="E1" s="1" t="inlineStr">
        <is>
          <t>Worst Effort (pd)</t>
        </is>
      </c>
      <c r="F1" s="1" t="inlineStr">
        <is>
          <t>PERT Effort (pd)</t>
        </is>
      </c>
      <c r="G1" s="1" t="inlineStr">
        <is>
          <t>Best Duration (d)</t>
        </is>
      </c>
      <c r="H1" s="1" t="inlineStr">
        <is>
          <t>Likely Duration (d)</t>
        </is>
      </c>
      <c r="I1" s="1" t="inlineStr">
        <is>
          <t>Worst Duration (d)</t>
        </is>
      </c>
      <c r="J1" s="1" t="inlineStr">
        <is>
          <t>PERT Duration (d)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Stakeholder alignment, requirements elicitation and technical feasibility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WBS!B9</f>
        <v/>
      </c>
      <c r="B3" s="2" t="inlineStr">
        <is>
          <t>User experience design, wireframing and interactive prototype</t>
        </is>
      </c>
      <c r="C3" s="4">
        <f>WBS!E9</f>
        <v/>
      </c>
      <c r="D3" s="4">
        <f>WBS!F9</f>
        <v/>
      </c>
      <c r="E3" s="4">
        <f>WBS!G9</f>
        <v/>
      </c>
      <c r="F3" s="4">
        <f>WBS!H9</f>
        <v/>
      </c>
      <c r="G3" s="4">
        <f>WBS!I9</f>
        <v/>
      </c>
      <c r="H3" s="4">
        <f>WBS!J9</f>
        <v/>
      </c>
      <c r="I3" s="4">
        <f>WBS!K9</f>
        <v/>
      </c>
      <c r="J3" s="4">
        <f>WBS!L9</f>
        <v/>
      </c>
      <c r="K3" s="4">
        <f>WBS!M9</f>
        <v/>
      </c>
    </row>
    <row r="4">
      <c r="A4" s="2">
        <f>WBS!B17</f>
        <v/>
      </c>
      <c r="B4" s="2" t="inlineStr">
        <is>
          <t>REST API implementation, infrastructure setup and backend testing</t>
        </is>
      </c>
      <c r="C4" s="4">
        <f>WBS!E17</f>
        <v/>
      </c>
      <c r="D4" s="4">
        <f>WBS!F17</f>
        <v/>
      </c>
      <c r="E4" s="4">
        <f>WBS!G17</f>
        <v/>
      </c>
      <c r="F4" s="4">
        <f>WBS!H17</f>
        <v/>
      </c>
      <c r="G4" s="4">
        <f>WBS!I17</f>
        <v/>
      </c>
      <c r="H4" s="4">
        <f>WBS!J17</f>
        <v/>
      </c>
      <c r="I4" s="4">
        <f>WBS!K17</f>
        <v/>
      </c>
      <c r="J4" s="4">
        <f>WBS!L17</f>
        <v/>
      </c>
      <c r="K4" s="4">
        <f>WBS!M17</f>
        <v/>
      </c>
    </row>
    <row r="5">
      <c r="A5" s="2">
        <f>WBS!B26</f>
        <v/>
      </c>
      <c r="B5" s="2" t="inlineStr">
        <is>
          <t>Native/cross-platform mobile app implementation and E2E testing</t>
        </is>
      </c>
      <c r="C5" s="4">
        <f>WBS!E26</f>
        <v/>
      </c>
      <c r="D5" s="4">
        <f>WBS!F26</f>
        <v/>
      </c>
      <c r="E5" s="4">
        <f>WBS!G26</f>
        <v/>
      </c>
      <c r="F5" s="4">
        <f>WBS!H26</f>
        <v/>
      </c>
      <c r="G5" s="4">
        <f>WBS!I26</f>
        <v/>
      </c>
      <c r="H5" s="4">
        <f>WBS!J26</f>
        <v/>
      </c>
      <c r="I5" s="4">
        <f>WBS!K26</f>
        <v/>
      </c>
      <c r="J5" s="4">
        <f>WBS!L26</f>
        <v/>
      </c>
      <c r="K5" s="4">
        <f>WBS!M26</f>
        <v/>
      </c>
    </row>
    <row r="6">
      <c r="A6" s="2">
        <f>WBS!B34</f>
        <v/>
      </c>
      <c r="B6" s="2" t="inlineStr">
        <is>
          <t>App store submission, UAT with pilot users and go-live</t>
        </is>
      </c>
      <c r="C6" s="4">
        <f>WBS!E34</f>
        <v/>
      </c>
      <c r="D6" s="4">
        <f>WBS!F34</f>
        <v/>
      </c>
      <c r="E6" s="4">
        <f>WBS!G34</f>
        <v/>
      </c>
      <c r="F6" s="4">
        <f>WBS!H34</f>
        <v/>
      </c>
      <c r="G6" s="4">
        <f>WBS!I34</f>
        <v/>
      </c>
      <c r="H6" s="4">
        <f>WBS!J34</f>
        <v/>
      </c>
      <c r="I6" s="4">
        <f>WBS!K34</f>
        <v/>
      </c>
      <c r="J6" s="4">
        <f>WBS!L34</f>
        <v/>
      </c>
      <c r="K6" s="4">
        <f>WBS!M34</f>
        <v/>
      </c>
    </row>
    <row r="7">
      <c r="A7" s="11" t="inlineStr">
        <is>
          <t>TOTAL</t>
        </is>
      </c>
      <c r="B7" s="11" t="n"/>
      <c r="C7" s="13">
        <f>SUM(C2:C6)</f>
        <v/>
      </c>
      <c r="D7" s="13">
        <f>SUM(D2:D6)</f>
        <v/>
      </c>
      <c r="E7" s="13">
        <f>SUM(E2:E6)</f>
        <v/>
      </c>
      <c r="F7" s="13">
        <f>SUM(F2:F6)</f>
        <v/>
      </c>
      <c r="G7" s="13">
        <f>SUM(G2:G6)</f>
        <v/>
      </c>
      <c r="H7" s="13">
        <f>SUM(H2:H6)</f>
        <v/>
      </c>
      <c r="I7" s="13">
        <f>SUM(I2:I6)</f>
        <v/>
      </c>
      <c r="J7" s="13">
        <f>SUM(J2:J6)</f>
        <v/>
      </c>
      <c r="K7" s="13">
        <f>SUM(K2:K6)</f>
        <v/>
      </c>
    </row>
    <row r="9">
      <c r="A9" t="inlineStr">
        <is>
          <t>Tech PERT Effort (PD)</t>
        </is>
      </c>
      <c r="B9">
        <f>F7</f>
        <v/>
      </c>
    </row>
    <row r="10">
      <c r="A10" t="inlineStr">
        <is>
          <t>PM Overhead (+10%) (PD)</t>
        </is>
      </c>
      <c r="B10">
        <f>B9*0.1</f>
        <v/>
      </c>
    </row>
    <row r="11">
      <c r="A11" t="inlineStr">
        <is>
          <t>DevOps Overhead (+5%) (PD)</t>
        </is>
      </c>
      <c r="B11">
        <f>B9*0.05</f>
        <v/>
      </c>
    </row>
    <row r="12">
      <c r="A12" t="inlineStr">
        <is>
          <t>Subtotal Tech + Overhead (PD)</t>
        </is>
      </c>
      <c r="B12">
        <f>B9+B10+B11</f>
        <v/>
      </c>
    </row>
    <row r="13">
      <c r="A13" t="inlineStr">
        <is>
          <t>Contingency per-risk (PD)</t>
        </is>
      </c>
      <c r="B13">
        <f>Risks!L9</f>
        <v/>
      </c>
    </row>
    <row r="14">
      <c r="A14" t="inlineStr">
        <is>
          <t>Low Band</t>
        </is>
      </c>
      <c r="B14">
        <f>B12+B13</f>
        <v/>
      </c>
    </row>
    <row r="15">
      <c r="A15" t="inlineStr">
        <is>
          <t>Management Reserve (10%) (PD)</t>
        </is>
      </c>
      <c r="B15">
        <f>B14*0.1</f>
        <v/>
      </c>
    </row>
    <row r="16">
      <c r="A16" t="inlineStr">
        <is>
          <t>Medium Band (recommended)</t>
        </is>
      </c>
      <c r="B16">
        <f>B14+B15</f>
        <v/>
      </c>
    </row>
    <row r="17">
      <c r="A17" t="inlineStr">
        <is>
          <t>High Band</t>
        </is>
      </c>
      <c r="B17">
        <f>B16*(1+0.12)</f>
        <v/>
      </c>
    </row>
    <row r="18">
      <c r="A18" t="inlineStr">
        <is>
          <t>Total Billable Effort (PD)</t>
        </is>
      </c>
      <c r="B18">
        <f>WBS!S39</f>
        <v/>
      </c>
    </row>
    <row r="19">
      <c r="A19" t="inlineStr">
        <is>
          <t>Billable Ratio</t>
        </is>
      </c>
      <c r="B19">
        <f>B18/B9</f>
        <v/>
      </c>
    </row>
    <row r="21">
      <c r="A21" t="inlineStr">
        <is>
          <t>Calendar Duration (weeks)</t>
        </is>
      </c>
      <c r="B21" s="22" t="n">
        <v>16</v>
      </c>
    </row>
    <row r="23">
      <c r="A23" s="23" t="inlineStr">
        <is>
          <t>Effort by Team (PD)</t>
        </is>
      </c>
    </row>
    <row r="24">
      <c r="A24" t="inlineStr">
        <is>
          <t>Engineering</t>
        </is>
      </c>
      <c r="B24" s="16" t="n">
        <v>84.00000000000001</v>
      </c>
    </row>
    <row r="25">
      <c r="A25" t="inlineStr">
        <is>
          <t>Product</t>
        </is>
      </c>
      <c r="B25" s="16" t="n">
        <v>15.83333333333333</v>
      </c>
    </row>
    <row r="27">
      <c r="A27" s="23" t="inlineStr">
        <is>
          <t>Sensitivity Scenarios</t>
        </is>
      </c>
    </row>
    <row r="28">
      <c r="A28" t="inlineStr">
        <is>
          <t>Optimistic: ~85% of Fascia MEDIA — best-case execution for 3-mobile-app</t>
        </is>
      </c>
    </row>
    <row r="29">
      <c r="A29" t="inlineStr">
        <is>
          <t>Realistic: Fascia MEDIA — current best estimate including overhead and MR</t>
        </is>
      </c>
    </row>
    <row r="30">
      <c r="A30" t="inlineStr">
        <is>
          <t>Pessimistic: ~115% of Fascia MEDIA — material slippage on critical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2026-09-29T17:41:18Z</dcterms:created>
  <dcterms:modified xmlns:dcterms="http://purl.org/dc/terms/" xmlns:xsi="http://www.w3.org/2001/XMLSchema-instance" xsi:type="dcterms:W3CDTF">2026-09-29T17:41:18Z</dcterms:modified>
</cp:coreProperties>
</file>