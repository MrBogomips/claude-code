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Resources" sheetId="3" state="visible" r:id="rId3"/>
    <sheet xmlns:r="http://schemas.openxmlformats.org/officeDocument/2006/relationships" name="Risks" sheetId="4" state="visible" r:id="rId4"/>
    <sheet xmlns:r="http://schemas.openxmlformats.org/officeDocument/2006/relationships" name="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sz val="11"/>
    </font>
    <font>
      <b val="1"/>
      <color rgb="FFFFFFFF"/>
    </font>
    <font>
      <b val="1"/>
    </font>
    <font/>
    <font>
      <b val="1"/>
      <u val="single"/>
    </font>
    <font>
      <i val="1"/>
      <sz val="9"/>
    </font>
    <font>
      <b val="1"/>
      <color rgb="FFFF0000"/>
    </font>
  </fonts>
  <fills count="9">
    <fill>
      <patternFill/>
    </fill>
    <fill>
      <patternFill patternType="gray125"/>
    </fill>
    <fill>
      <patternFill patternType="solid">
        <fgColor rgb="FFE6394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2F2F2F"/>
      </patternFill>
    </fill>
    <fill>
      <patternFill patternType="solid">
        <fgColor rgb="FFFF0000"/>
      </patternFill>
    </fill>
    <fill>
      <patternFill patternType="solid">
        <fgColor rgb="FF4472C4"/>
      </patternFill>
    </fill>
    <fill>
      <patternFill patternType="solid">
        <fgColor rgb="FFFFA500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wrapText="1"/>
    </xf>
    <xf numFmtId="4" fontId="2" fillId="2" borderId="0" applyAlignment="1" pivotButton="0" quotePrefix="0" xfId="0">
      <alignment wrapText="1"/>
    </xf>
    <xf numFmtId="4" fontId="2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4" fontId="3" fillId="4" borderId="0" applyAlignment="1" pivotButton="0" quotePrefix="0" xfId="0">
      <alignment wrapText="1"/>
    </xf>
    <xf numFmtId="4" fontId="3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4" fontId="4" fillId="0" borderId="0" applyAlignment="1" pivotButton="0" quotePrefix="0" xfId="0">
      <alignment wrapText="1"/>
    </xf>
    <xf numFmtId="4" fontId="4" fillId="3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4" fontId="2" fillId="5" borderId="1" applyAlignment="1" pivotButton="0" quotePrefix="0" xfId="0">
      <alignment wrapText="1"/>
    </xf>
    <xf numFmtId="4" fontId="2" fillId="3" borderId="1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6" fillId="3" borderId="0" applyAlignment="1" pivotButton="0" quotePrefix="0" xfId="0">
      <alignment horizontal="center"/>
    </xf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4" fillId="0" borderId="0" pivotButton="0" quotePrefix="0" xfId="0"/>
    <xf numFmtId="0" fontId="4" fillId="3" borderId="0" pivotButton="0" quotePrefix="0" xfId="0"/>
    <xf numFmtId="0" fontId="3" fillId="4" borderId="0" pivotButton="0" quotePrefix="0" xfId="0"/>
    <xf numFmtId="0" fontId="3" fillId="3" borderId="0" pivotButton="0" quotePrefix="0" xfId="0"/>
    <xf numFmtId="0" fontId="2" fillId="3" borderId="1" applyAlignment="1" pivotButton="0" quotePrefix="0" xfId="0">
      <alignment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30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25" customWidth="1" min="14" max="14"/>
    <col width="20" customWidth="1" min="15" max="15"/>
    <col width="20" customWidth="1" min="16" max="16"/>
    <col width="25" customWidth="1" min="17" max="17"/>
    <col width="10" customWidth="1" min="18" max="18"/>
    <col width="18" customWidth="1" min="19" max="19"/>
  </cols>
  <sheetData>
    <row r="1">
      <c r="A1" s="1" t="inlineStr">
        <is>
          <t>ID</t>
        </is>
      </c>
      <c r="B1" s="1" t="inlineStr">
        <is>
          <t>Phase</t>
        </is>
      </c>
      <c r="C1" s="1" t="inlineStr">
        <is>
          <t>Work Package</t>
        </is>
      </c>
      <c r="D1" s="1" t="inlineStr">
        <is>
          <t>Activity</t>
        </is>
      </c>
      <c r="E1" s="1" t="inlineStr">
        <is>
          <t>Best Effort (pd)</t>
        </is>
      </c>
      <c r="F1" s="1" t="inlineStr">
        <is>
          <t>Likely Effort (pd)</t>
        </is>
      </c>
      <c r="G1" s="1" t="inlineStr">
        <is>
          <t>Worst Effort (pd)</t>
        </is>
      </c>
      <c r="H1" s="1" t="inlineStr">
        <is>
          <t>PERT Effort (pd)</t>
        </is>
      </c>
      <c r="I1" s="1" t="inlineStr">
        <is>
          <t>Best Duration (d)</t>
        </is>
      </c>
      <c r="J1" s="1" t="inlineStr">
        <is>
          <t>Likely Duration (d)</t>
        </is>
      </c>
      <c r="K1" s="1" t="inlineStr">
        <is>
          <t>Worst Duration (d)</t>
        </is>
      </c>
      <c r="L1" s="1" t="inlineStr">
        <is>
          <t>PERT Duration (d)</t>
        </is>
      </c>
      <c r="M1" s="1" t="inlineStr">
        <is>
          <t>σ Duration</t>
        </is>
      </c>
      <c r="N1" s="1" t="inlineStr">
        <is>
          <t>Resources</t>
        </is>
      </c>
      <c r="O1" s="1" t="inlineStr">
        <is>
          <t>Dependencies</t>
        </is>
      </c>
      <c r="P1" s="1" t="inlineStr">
        <is>
          <t>Risks</t>
        </is>
      </c>
      <c r="Q1" s="1" t="inlineStr">
        <is>
          <t>Notes</t>
        </is>
      </c>
      <c r="R1" s="1" t="inlineStr">
        <is>
          <t>Billable</t>
        </is>
      </c>
      <c r="S1" s="1" t="inlineStr">
        <is>
          <t>Billable PERT Effort</t>
        </is>
      </c>
    </row>
    <row r="2">
      <c r="A2" s="2" t="inlineStr">
        <is>
          <t>1</t>
        </is>
      </c>
      <c r="B2" s="2" t="inlineStr">
        <is>
          <t>Discovery</t>
        </is>
      </c>
      <c r="C2" s="2" t="n"/>
      <c r="D2" s="2" t="n"/>
      <c r="E2" s="3">
        <f>SUM(E4,E5,E7,E8)</f>
        <v/>
      </c>
      <c r="F2" s="3">
        <f>SUM(F4,F5,F7,F8)</f>
        <v/>
      </c>
      <c r="G2" s="3">
        <f>SUM(G4,G5,G7,G8)</f>
        <v/>
      </c>
      <c r="H2" s="4">
        <f>(E2+4*F2+G2)/6</f>
        <v/>
      </c>
      <c r="I2" s="3">
        <f>SUM(I4,I5,I7,I8)</f>
        <v/>
      </c>
      <c r="J2" s="3">
        <f>SUM(J4,J5,J7,J8)</f>
        <v/>
      </c>
      <c r="K2" s="3">
        <f>SUM(K4,K5,K7,K8)</f>
        <v/>
      </c>
      <c r="L2" s="4">
        <f>(I2+4*J2+K2)/6</f>
        <v/>
      </c>
      <c r="M2" s="4">
        <f>(K2-I2)/6</f>
        <v/>
      </c>
      <c r="N2" s="2" t="n"/>
      <c r="O2" s="2" t="n"/>
      <c r="P2" s="2" t="n"/>
      <c r="Q2" s="2" t="n"/>
      <c r="R2" s="2" t="n"/>
      <c r="S2" s="4">
        <f>SUM(S4,S5,S7,S8)</f>
        <v/>
      </c>
    </row>
    <row r="3">
      <c r="A3" s="5" t="inlineStr">
        <is>
          <t>1.1</t>
        </is>
      </c>
      <c r="B3" s="5" t="n"/>
      <c r="C3" s="5" t="inlineStr">
        <is>
          <t>Project Kickoff</t>
        </is>
      </c>
      <c r="D3" s="5" t="n"/>
      <c r="E3" s="6">
        <f>SUM(E4:E5)</f>
        <v/>
      </c>
      <c r="F3" s="6">
        <f>SUM(F4:F5)</f>
        <v/>
      </c>
      <c r="G3" s="6">
        <f>SUM(G4:G5)</f>
        <v/>
      </c>
      <c r="H3" s="7">
        <f>(E3+4*F3+G3)/6</f>
        <v/>
      </c>
      <c r="I3" s="6">
        <f>SUM(I4:I5)</f>
        <v/>
      </c>
      <c r="J3" s="6">
        <f>SUM(J4:J5)</f>
        <v/>
      </c>
      <c r="K3" s="6">
        <f>SUM(K4:K5)</f>
        <v/>
      </c>
      <c r="L3" s="7">
        <f>(I3+4*J3+K3)/6</f>
        <v/>
      </c>
      <c r="M3" s="7">
        <f>(K3-I3)/6</f>
        <v/>
      </c>
      <c r="N3" s="5" t="n"/>
      <c r="O3" s="5" t="n"/>
      <c r="P3" s="5" t="n"/>
      <c r="Q3" s="5" t="n"/>
      <c r="R3" s="5" t="n"/>
      <c r="S3" s="7">
        <f>SUM(S4:S5)</f>
        <v/>
      </c>
    </row>
    <row r="4">
      <c r="A4" s="8" t="inlineStr">
        <is>
          <t>1.1.1</t>
        </is>
      </c>
      <c r="B4" s="8" t="n"/>
      <c r="C4" s="8" t="n"/>
      <c r="D4" s="8" t="inlineStr">
        <is>
          <t>Stakeholder workshop</t>
        </is>
      </c>
      <c r="E4" s="9" t="n">
        <v>2</v>
      </c>
      <c r="F4" s="9" t="n">
        <v>3</v>
      </c>
      <c r="G4" s="9" t="n">
        <v>5</v>
      </c>
      <c r="H4" s="10">
        <f>(E4+4*F4+G4)/6</f>
        <v/>
      </c>
      <c r="I4" s="9" t="n">
        <v>2</v>
      </c>
      <c r="J4" s="9" t="n">
        <v>3</v>
      </c>
      <c r="K4" s="9" t="n">
        <v>5</v>
      </c>
      <c r="L4" s="10">
        <f>(I4+4*J4+K4)/6</f>
        <v/>
      </c>
      <c r="M4" s="10">
        <f>(K4-I4)/6</f>
        <v/>
      </c>
      <c r="N4" s="8" t="inlineStr">
        <is>
          <t>PO</t>
        </is>
      </c>
      <c r="O4" s="8" t="inlineStr"/>
      <c r="P4" s="8" t="inlineStr">
        <is>
          <t>R5</t>
        </is>
      </c>
      <c r="Q4" s="8" t="inlineStr">
        <is>
          <t>Kick-off with key stakeholders</t>
        </is>
      </c>
      <c r="R4" s="8" t="inlineStr">
        <is>
          <t>Y</t>
        </is>
      </c>
      <c r="S4" s="10">
        <f>IF(R4="Y",H4,0)</f>
        <v/>
      </c>
    </row>
    <row r="5">
      <c r="A5" s="8" t="inlineStr">
        <is>
          <t>1.1.2</t>
        </is>
      </c>
      <c r="B5" s="8" t="n"/>
      <c r="C5" s="8" t="n"/>
      <c r="D5" s="8" t="inlineStr">
        <is>
          <t>Requirements elicitation</t>
        </is>
      </c>
      <c r="E5" s="9" t="n">
        <v>4</v>
      </c>
      <c r="F5" s="9" t="n">
        <v>6</v>
      </c>
      <c r="G5" s="9" t="n">
        <v>10</v>
      </c>
      <c r="H5" s="10">
        <f>(E5+4*F5+G5)/6</f>
        <v/>
      </c>
      <c r="I5" s="9" t="n">
        <v>3</v>
      </c>
      <c r="J5" s="9" t="n">
        <v>5</v>
      </c>
      <c r="K5" s="9" t="n">
        <v>8</v>
      </c>
      <c r="L5" s="10">
        <f>(I5+4*J5+K5)/6</f>
        <v/>
      </c>
      <c r="M5" s="10">
        <f>(K5-I5)/6</f>
        <v/>
      </c>
      <c r="N5" s="8" t="inlineStr">
        <is>
          <t>PO, BED</t>
        </is>
      </c>
      <c r="O5" s="8" t="inlineStr">
        <is>
          <t>1.1.1</t>
        </is>
      </c>
      <c r="P5" s="8" t="inlineStr">
        <is>
          <t>R5</t>
        </is>
      </c>
      <c r="Q5" s="8" t="inlineStr">
        <is>
          <t>User stories and acceptance criteria</t>
        </is>
      </c>
      <c r="R5" s="8" t="inlineStr">
        <is>
          <t>Y</t>
        </is>
      </c>
      <c r="S5" s="10">
        <f>IF(R5="Y",H5,0)</f>
        <v/>
      </c>
    </row>
    <row r="6">
      <c r="A6" s="5" t="inlineStr">
        <is>
          <t>1.2</t>
        </is>
      </c>
      <c r="B6" s="5" t="n"/>
      <c r="C6" s="5" t="inlineStr">
        <is>
          <t>Technical Feasibility</t>
        </is>
      </c>
      <c r="D6" s="5" t="n"/>
      <c r="E6" s="6">
        <f>SUM(E7:E8)</f>
        <v/>
      </c>
      <c r="F6" s="6">
        <f>SUM(F7:F8)</f>
        <v/>
      </c>
      <c r="G6" s="6">
        <f>SUM(G7:G8)</f>
        <v/>
      </c>
      <c r="H6" s="7">
        <f>(E6+4*F6+G6)/6</f>
        <v/>
      </c>
      <c r="I6" s="6">
        <f>SUM(I7:I8)</f>
        <v/>
      </c>
      <c r="J6" s="6">
        <f>SUM(J7:J8)</f>
        <v/>
      </c>
      <c r="K6" s="6">
        <f>SUM(K7:K8)</f>
        <v/>
      </c>
      <c r="L6" s="7">
        <f>(I6+4*J6+K6)/6</f>
        <v/>
      </c>
      <c r="M6" s="7">
        <f>(K6-I6)/6</f>
        <v/>
      </c>
      <c r="N6" s="5" t="n"/>
      <c r="O6" s="5" t="n"/>
      <c r="P6" s="5" t="n"/>
      <c r="Q6" s="5" t="n"/>
      <c r="R6" s="5" t="n"/>
      <c r="S6" s="7">
        <f>SUM(S7:S8)</f>
        <v/>
      </c>
    </row>
    <row r="7">
      <c r="A7" s="8" t="inlineStr">
        <is>
          <t>1.2.1</t>
        </is>
      </c>
      <c r="B7" s="8" t="n"/>
      <c r="C7" s="8" t="n"/>
      <c r="D7" s="8" t="inlineStr">
        <is>
          <t>Technology stack selection</t>
        </is>
      </c>
      <c r="E7" s="9" t="n">
        <v>1</v>
      </c>
      <c r="F7" s="9" t="n">
        <v>2</v>
      </c>
      <c r="G7" s="9" t="n">
        <v>3</v>
      </c>
      <c r="H7" s="10">
        <f>(E7+4*F7+G7)/6</f>
        <v/>
      </c>
      <c r="I7" s="9" t="n">
        <v>1</v>
      </c>
      <c r="J7" s="9" t="n">
        <v>2</v>
      </c>
      <c r="K7" s="9" t="n">
        <v>3</v>
      </c>
      <c r="L7" s="10">
        <f>(I7+4*J7+K7)/6</f>
        <v/>
      </c>
      <c r="M7" s="10">
        <f>(K7-I7)/6</f>
        <v/>
      </c>
      <c r="N7" s="8" t="inlineStr">
        <is>
          <t>MOB, BED</t>
        </is>
      </c>
      <c r="O7" s="8" t="inlineStr">
        <is>
          <t>1.1.2</t>
        </is>
      </c>
      <c r="P7" s="8" t="inlineStr"/>
      <c r="Q7" s="8" t="inlineStr">
        <is>
          <t>React Native vs Flutter evaluation</t>
        </is>
      </c>
      <c r="R7" s="8" t="inlineStr">
        <is>
          <t>Y</t>
        </is>
      </c>
      <c r="S7" s="10">
        <f>IF(R7="Y",H7,0)</f>
        <v/>
      </c>
    </row>
    <row r="8">
      <c r="A8" s="8" t="inlineStr">
        <is>
          <t>1.2.2</t>
        </is>
      </c>
      <c r="B8" s="8" t="n"/>
      <c r="C8" s="8" t="n"/>
      <c r="D8" s="8" t="inlineStr">
        <is>
          <t>Architecture draft</t>
        </is>
      </c>
      <c r="E8" s="9" t="n">
        <v>2</v>
      </c>
      <c r="F8" s="9" t="n">
        <v>3</v>
      </c>
      <c r="G8" s="9" t="n">
        <v>5</v>
      </c>
      <c r="H8" s="10">
        <f>(E8+4*F8+G8)/6</f>
        <v/>
      </c>
      <c r="I8" s="9" t="n">
        <v>2</v>
      </c>
      <c r="J8" s="9" t="n">
        <v>3</v>
      </c>
      <c r="K8" s="9" t="n">
        <v>5</v>
      </c>
      <c r="L8" s="10">
        <f>(I8+4*J8+K8)/6</f>
        <v/>
      </c>
      <c r="M8" s="10">
        <f>(K8-I8)/6</f>
        <v/>
      </c>
      <c r="N8" s="8" t="inlineStr">
        <is>
          <t>BED</t>
        </is>
      </c>
      <c r="O8" s="8" t="inlineStr">
        <is>
          <t>1.2.1</t>
        </is>
      </c>
      <c r="P8" s="8" t="inlineStr">
        <is>
          <t>R2</t>
        </is>
      </c>
      <c r="Q8" s="8" t="inlineStr">
        <is>
          <t>High-level system architecture</t>
        </is>
      </c>
      <c r="R8" s="8" t="inlineStr">
        <is>
          <t>Y</t>
        </is>
      </c>
      <c r="S8" s="10">
        <f>IF(R8="Y",H8,0)</f>
        <v/>
      </c>
    </row>
    <row r="9">
      <c r="A9" s="2" t="inlineStr">
        <is>
          <t>2</t>
        </is>
      </c>
      <c r="B9" s="2" t="inlineStr">
        <is>
          <t>UX Design</t>
        </is>
      </c>
      <c r="C9" s="2" t="n"/>
      <c r="D9" s="2" t="n"/>
      <c r="E9" s="3">
        <f>SUM(E11,E12,E14,E15,E16)</f>
        <v/>
      </c>
      <c r="F9" s="3">
        <f>SUM(F11,F12,F14,F15,F16)</f>
        <v/>
      </c>
      <c r="G9" s="3">
        <f>SUM(G11,G12,G14,G15,G16)</f>
        <v/>
      </c>
      <c r="H9" s="4">
        <f>(E9+4*F9+G9)/6</f>
        <v/>
      </c>
      <c r="I9" s="3">
        <f>SUM(I11,I12,I14,I15,I16)</f>
        <v/>
      </c>
      <c r="J9" s="3">
        <f>SUM(J11,J12,J14,J15,J16)</f>
        <v/>
      </c>
      <c r="K9" s="3">
        <f>SUM(K11,K12,K14,K15,K16)</f>
        <v/>
      </c>
      <c r="L9" s="4">
        <f>(I9+4*J9+K9)/6</f>
        <v/>
      </c>
      <c r="M9" s="4">
        <f>(K9-I9)/6</f>
        <v/>
      </c>
      <c r="N9" s="2" t="n"/>
      <c r="O9" s="2" t="n"/>
      <c r="P9" s="2" t="n"/>
      <c r="Q9" s="2" t="n"/>
      <c r="R9" s="2" t="n"/>
      <c r="S9" s="4">
        <f>SUM(S11,S12,S14,S15,S16)</f>
        <v/>
      </c>
    </row>
    <row r="10">
      <c r="A10" s="5" t="inlineStr">
        <is>
          <t>2.1</t>
        </is>
      </c>
      <c r="B10" s="5" t="n"/>
      <c r="C10" s="5" t="inlineStr">
        <is>
          <t>Wireframing</t>
        </is>
      </c>
      <c r="D10" s="5" t="n"/>
      <c r="E10" s="6">
        <f>SUM(E11:E12)</f>
        <v/>
      </c>
      <c r="F10" s="6">
        <f>SUM(F11:F12)</f>
        <v/>
      </c>
      <c r="G10" s="6">
        <f>SUM(G11:G12)</f>
        <v/>
      </c>
      <c r="H10" s="7">
        <f>(E10+4*F10+G10)/6</f>
        <v/>
      </c>
      <c r="I10" s="6">
        <f>SUM(I11:I12)</f>
        <v/>
      </c>
      <c r="J10" s="6">
        <f>SUM(J11:J12)</f>
        <v/>
      </c>
      <c r="K10" s="6">
        <f>SUM(K11:K12)</f>
        <v/>
      </c>
      <c r="L10" s="7">
        <f>(I10+4*J10+K10)/6</f>
        <v/>
      </c>
      <c r="M10" s="7">
        <f>(K10-I10)/6</f>
        <v/>
      </c>
      <c r="N10" s="5" t="n"/>
      <c r="O10" s="5" t="n"/>
      <c r="P10" s="5" t="n"/>
      <c r="Q10" s="5" t="n"/>
      <c r="R10" s="5" t="n"/>
      <c r="S10" s="7">
        <f>SUM(S11:S12)</f>
        <v/>
      </c>
    </row>
    <row r="11">
      <c r="A11" s="8" t="inlineStr">
        <is>
          <t>2.1.1</t>
        </is>
      </c>
      <c r="B11" s="8" t="n"/>
      <c r="C11" s="8" t="n"/>
      <c r="D11" s="8" t="inlineStr">
        <is>
          <t>User flow mapping</t>
        </is>
      </c>
      <c r="E11" s="9" t="n">
        <v>2</v>
      </c>
      <c r="F11" s="9" t="n">
        <v>3</v>
      </c>
      <c r="G11" s="9" t="n">
        <v>5</v>
      </c>
      <c r="H11" s="10">
        <f>(E11+4*F11+G11)/6</f>
        <v/>
      </c>
      <c r="I11" s="9" t="n">
        <v>2</v>
      </c>
      <c r="J11" s="9" t="n">
        <v>3</v>
      </c>
      <c r="K11" s="9" t="n">
        <v>5</v>
      </c>
      <c r="L11" s="10">
        <f>(I11+4*J11+K11)/6</f>
        <v/>
      </c>
      <c r="M11" s="10">
        <f>(K11-I11)/6</f>
        <v/>
      </c>
      <c r="N11" s="8" t="inlineStr">
        <is>
          <t>PO</t>
        </is>
      </c>
      <c r="O11" s="8" t="inlineStr">
        <is>
          <t>1.1.2</t>
        </is>
      </c>
      <c r="P11" s="8" t="inlineStr">
        <is>
          <t>R5</t>
        </is>
      </c>
      <c r="Q11" s="8" t="inlineStr">
        <is>
          <t>Journey maps for field technicians</t>
        </is>
      </c>
      <c r="R11" s="8" t="inlineStr">
        <is>
          <t>Y</t>
        </is>
      </c>
      <c r="S11" s="10">
        <f>IF(R11="Y",H11,0)</f>
        <v/>
      </c>
    </row>
    <row r="12">
      <c r="A12" s="8" t="inlineStr">
        <is>
          <t>2.1.2</t>
        </is>
      </c>
      <c r="B12" s="8" t="n"/>
      <c r="C12" s="8" t="n"/>
      <c r="D12" s="8" t="inlineStr">
        <is>
          <t>Low-fidelity wireframes</t>
        </is>
      </c>
      <c r="E12" s="9" t="n">
        <v>4</v>
      </c>
      <c r="F12" s="9" t="n">
        <v>6</v>
      </c>
      <c r="G12" s="9" t="n">
        <v>9</v>
      </c>
      <c r="H12" s="10">
        <f>(E12+4*F12+G12)/6</f>
        <v/>
      </c>
      <c r="I12" s="9" t="n">
        <v>3</v>
      </c>
      <c r="J12" s="9" t="n">
        <v>4</v>
      </c>
      <c r="K12" s="9" t="n">
        <v>6</v>
      </c>
      <c r="L12" s="10">
        <f>(I12+4*J12+K12)/6</f>
        <v/>
      </c>
      <c r="M12" s="10">
        <f>(K12-I12)/6</f>
        <v/>
      </c>
      <c r="N12" s="8" t="inlineStr">
        <is>
          <t>MOB, PO</t>
        </is>
      </c>
      <c r="O12" s="8" t="inlineStr">
        <is>
          <t>2.1.1</t>
        </is>
      </c>
      <c r="P12" s="8" t="inlineStr"/>
      <c r="Q12" s="8" t="inlineStr">
        <is>
          <t>Sketch-level wireframes for all screens</t>
        </is>
      </c>
      <c r="R12" s="8" t="inlineStr">
        <is>
          <t>Y</t>
        </is>
      </c>
      <c r="S12" s="10">
        <f>IF(R12="Y",H12,0)</f>
        <v/>
      </c>
    </row>
    <row r="13">
      <c r="A13" s="5" t="inlineStr">
        <is>
          <t>2.2</t>
        </is>
      </c>
      <c r="B13" s="5" t="n"/>
      <c r="C13" s="5" t="inlineStr">
        <is>
          <t>Prototyping</t>
        </is>
      </c>
      <c r="D13" s="5" t="n"/>
      <c r="E13" s="6">
        <f>SUM(E14:E16)</f>
        <v/>
      </c>
      <c r="F13" s="6">
        <f>SUM(F14:F16)</f>
        <v/>
      </c>
      <c r="G13" s="6">
        <f>SUM(G14:G16)</f>
        <v/>
      </c>
      <c r="H13" s="7">
        <f>(E13+4*F13+G13)/6</f>
        <v/>
      </c>
      <c r="I13" s="6">
        <f>SUM(I14:I16)</f>
        <v/>
      </c>
      <c r="J13" s="6">
        <f>SUM(J14:J16)</f>
        <v/>
      </c>
      <c r="K13" s="6">
        <f>SUM(K14:K16)</f>
        <v/>
      </c>
      <c r="L13" s="7">
        <f>(I13+4*J13+K13)/6</f>
        <v/>
      </c>
      <c r="M13" s="7">
        <f>(K13-I13)/6</f>
        <v/>
      </c>
      <c r="N13" s="5" t="n"/>
      <c r="O13" s="5" t="n"/>
      <c r="P13" s="5" t="n"/>
      <c r="Q13" s="5" t="n"/>
      <c r="R13" s="5" t="n"/>
      <c r="S13" s="7">
        <f>SUM(S14:S16)</f>
        <v/>
      </c>
    </row>
    <row r="14">
      <c r="A14" s="8" t="inlineStr">
        <is>
          <t>2.2.1</t>
        </is>
      </c>
      <c r="B14" s="8" t="n"/>
      <c r="C14" s="8" t="n"/>
      <c r="D14" s="8" t="inlineStr">
        <is>
          <t>Interactive prototype</t>
        </is>
      </c>
      <c r="E14" s="9" t="n">
        <v>3</v>
      </c>
      <c r="F14" s="9" t="n">
        <v>5</v>
      </c>
      <c r="G14" s="9" t="n">
        <v>8</v>
      </c>
      <c r="H14" s="10">
        <f>(E14+4*F14+G14)/6</f>
        <v/>
      </c>
      <c r="I14" s="9" t="n">
        <v>3</v>
      </c>
      <c r="J14" s="9" t="n">
        <v>5</v>
      </c>
      <c r="K14" s="9" t="n">
        <v>8</v>
      </c>
      <c r="L14" s="10">
        <f>(I14+4*J14+K14)/6</f>
        <v/>
      </c>
      <c r="M14" s="10">
        <f>(K14-I14)/6</f>
        <v/>
      </c>
      <c r="N14" s="8" t="inlineStr">
        <is>
          <t>MOB</t>
        </is>
      </c>
      <c r="O14" s="8" t="inlineStr">
        <is>
          <t>2.1.2</t>
        </is>
      </c>
      <c r="P14" s="8" t="inlineStr"/>
      <c r="Q14" s="8" t="inlineStr">
        <is>
          <t>Clickable prototype in Figma</t>
        </is>
      </c>
      <c r="R14" s="8" t="inlineStr">
        <is>
          <t>Y</t>
        </is>
      </c>
      <c r="S14" s="10">
        <f>IF(R14="Y",H14,0)</f>
        <v/>
      </c>
    </row>
    <row r="15">
      <c r="A15" s="8" t="inlineStr">
        <is>
          <t>2.2.2</t>
        </is>
      </c>
      <c r="B15" s="8" t="n"/>
      <c r="C15" s="8" t="n"/>
      <c r="D15" s="8" t="inlineStr">
        <is>
          <t>Usability review</t>
        </is>
      </c>
      <c r="E15" s="9" t="n">
        <v>2</v>
      </c>
      <c r="F15" s="9" t="n">
        <v>3</v>
      </c>
      <c r="G15" s="9" t="n">
        <v>5</v>
      </c>
      <c r="H15" s="10">
        <f>(E15+4*F15+G15)/6</f>
        <v/>
      </c>
      <c r="I15" s="9" t="n">
        <v>1</v>
      </c>
      <c r="J15" s="9" t="n">
        <v>2</v>
      </c>
      <c r="K15" s="9" t="n">
        <v>4</v>
      </c>
      <c r="L15" s="10">
        <f>(I15+4*J15+K15)/6</f>
        <v/>
      </c>
      <c r="M15" s="10">
        <f>(K15-I15)/6</f>
        <v/>
      </c>
      <c r="N15" s="8" t="inlineStr">
        <is>
          <t>PO, QA</t>
        </is>
      </c>
      <c r="O15" s="8" t="inlineStr">
        <is>
          <t>2.2.1</t>
        </is>
      </c>
      <c r="P15" s="8" t="inlineStr"/>
      <c r="Q15" s="8" t="inlineStr">
        <is>
          <t>Internal review of prototype flows</t>
        </is>
      </c>
      <c r="R15" s="8" t="inlineStr">
        <is>
          <t>Y</t>
        </is>
      </c>
      <c r="S15" s="10">
        <f>IF(R15="Y",H15,0)</f>
        <v/>
      </c>
    </row>
    <row r="16">
      <c r="A16" s="8" t="inlineStr">
        <is>
          <t>2.2.3</t>
        </is>
      </c>
      <c r="B16" s="8" t="n"/>
      <c r="C16" s="8" t="n"/>
      <c r="D16" s="8" t="inlineStr">
        <is>
          <t>Design iteration</t>
        </is>
      </c>
      <c r="E16" s="9" t="n">
        <v>2</v>
      </c>
      <c r="F16" s="9" t="n">
        <v>3</v>
      </c>
      <c r="G16" s="9" t="n">
        <v>5</v>
      </c>
      <c r="H16" s="10">
        <f>(E16+4*F16+G16)/6</f>
        <v/>
      </c>
      <c r="I16" s="9" t="n">
        <v>2</v>
      </c>
      <c r="J16" s="9" t="n">
        <v>3</v>
      </c>
      <c r="K16" s="9" t="n">
        <v>5</v>
      </c>
      <c r="L16" s="10">
        <f>(I16+4*J16+K16)/6</f>
        <v/>
      </c>
      <c r="M16" s="10">
        <f>(K16-I16)/6</f>
        <v/>
      </c>
      <c r="N16" s="8" t="inlineStr">
        <is>
          <t>MOB</t>
        </is>
      </c>
      <c r="O16" s="8" t="inlineStr">
        <is>
          <t>2.2.2</t>
        </is>
      </c>
      <c r="P16" s="8" t="inlineStr"/>
      <c r="Q16" s="8" t="inlineStr">
        <is>
          <t>Apply feedback from usability review</t>
        </is>
      </c>
      <c r="R16" s="8" t="inlineStr">
        <is>
          <t>Y</t>
        </is>
      </c>
      <c r="S16" s="10">
        <f>IF(R16="Y",H16,0)</f>
        <v/>
      </c>
    </row>
    <row r="17">
      <c r="A17" s="2" t="inlineStr">
        <is>
          <t>3</t>
        </is>
      </c>
      <c r="B17" s="2" t="inlineStr">
        <is>
          <t>Backend Development</t>
        </is>
      </c>
      <c r="C17" s="2" t="n"/>
      <c r="D17" s="2" t="n"/>
      <c r="E17" s="3">
        <f>SUM(E19,E20,E21,E23,E24,E25)</f>
        <v/>
      </c>
      <c r="F17" s="3">
        <f>SUM(F19,F20,F21,F23,F24,F25)</f>
        <v/>
      </c>
      <c r="G17" s="3">
        <f>SUM(G19,G20,G21,G23,G24,G25)</f>
        <v/>
      </c>
      <c r="H17" s="4">
        <f>(E17+4*F17+G17)/6</f>
        <v/>
      </c>
      <c r="I17" s="3">
        <f>SUM(I19,I20,I21,I23,I24,I25)</f>
        <v/>
      </c>
      <c r="J17" s="3">
        <f>SUM(J19,J20,J21,J23,J24,J25)</f>
        <v/>
      </c>
      <c r="K17" s="3">
        <f>SUM(K19,K20,K21,K23,K24,K25)</f>
        <v/>
      </c>
      <c r="L17" s="4">
        <f>(I17+4*J17+K17)/6</f>
        <v/>
      </c>
      <c r="M17" s="4">
        <f>(K17-I17)/6</f>
        <v/>
      </c>
      <c r="N17" s="2" t="n"/>
      <c r="O17" s="2" t="n"/>
      <c r="P17" s="2" t="n"/>
      <c r="Q17" s="2" t="n"/>
      <c r="R17" s="2" t="n"/>
      <c r="S17" s="4">
        <f>SUM(S19,S20,S21,S23,S24,S25)</f>
        <v/>
      </c>
    </row>
    <row r="18">
      <c r="A18" s="5" t="inlineStr">
        <is>
          <t>3.1</t>
        </is>
      </c>
      <c r="B18" s="5" t="n"/>
      <c r="C18" s="5" t="inlineStr">
        <is>
          <t>Core API</t>
        </is>
      </c>
      <c r="D18" s="5" t="n"/>
      <c r="E18" s="6">
        <f>SUM(E19:E21)</f>
        <v/>
      </c>
      <c r="F18" s="6">
        <f>SUM(F19:F21)</f>
        <v/>
      </c>
      <c r="G18" s="6">
        <f>SUM(G19:G21)</f>
        <v/>
      </c>
      <c r="H18" s="7">
        <f>(E18+4*F18+G18)/6</f>
        <v/>
      </c>
      <c r="I18" s="6">
        <f>SUM(I19:I21)</f>
        <v/>
      </c>
      <c r="J18" s="6">
        <f>SUM(J19:J21)</f>
        <v/>
      </c>
      <c r="K18" s="6">
        <f>SUM(K19:K21)</f>
        <v/>
      </c>
      <c r="L18" s="7">
        <f>(I18+4*J18+K18)/6</f>
        <v/>
      </c>
      <c r="M18" s="7">
        <f>(K18-I18)/6</f>
        <v/>
      </c>
      <c r="N18" s="5" t="n"/>
      <c r="O18" s="5" t="n"/>
      <c r="P18" s="5" t="n"/>
      <c r="Q18" s="5" t="n"/>
      <c r="R18" s="5" t="n"/>
      <c r="S18" s="7">
        <f>SUM(S19:S21)</f>
        <v/>
      </c>
    </row>
    <row r="19">
      <c r="A19" s="8" t="inlineStr">
        <is>
          <t>3.1.1</t>
        </is>
      </c>
      <c r="B19" s="8" t="n"/>
      <c r="C19" s="8" t="n"/>
      <c r="D19" s="8" t="inlineStr">
        <is>
          <t>Auth and user management API</t>
        </is>
      </c>
      <c r="E19" s="9" t="n">
        <v>3</v>
      </c>
      <c r="F19" s="9" t="n">
        <v>5</v>
      </c>
      <c r="G19" s="9" t="n">
        <v>8</v>
      </c>
      <c r="H19" s="10">
        <f>(E19+4*F19+G19)/6</f>
        <v/>
      </c>
      <c r="I19" s="9" t="n">
        <v>3</v>
      </c>
      <c r="J19" s="9" t="n">
        <v>5</v>
      </c>
      <c r="K19" s="9" t="n">
        <v>8</v>
      </c>
      <c r="L19" s="10">
        <f>(I19+4*J19+K19)/6</f>
        <v/>
      </c>
      <c r="M19" s="10">
        <f>(K19-I19)/6</f>
        <v/>
      </c>
      <c r="N19" s="8" t="inlineStr">
        <is>
          <t>BED</t>
        </is>
      </c>
      <c r="O19" s="8" t="inlineStr">
        <is>
          <t>1.2.2</t>
        </is>
      </c>
      <c r="P19" s="8" t="inlineStr"/>
      <c r="Q19" s="8" t="inlineStr">
        <is>
          <t>JWT-based auth, role management</t>
        </is>
      </c>
      <c r="R19" s="8" t="inlineStr">
        <is>
          <t>Y</t>
        </is>
      </c>
      <c r="S19" s="10">
        <f>IF(R19="Y",H19,0)</f>
        <v/>
      </c>
    </row>
    <row r="20">
      <c r="A20" s="8" t="inlineStr">
        <is>
          <t>3.1.2</t>
        </is>
      </c>
      <c r="B20" s="8" t="n"/>
      <c r="C20" s="8" t="n"/>
      <c r="D20" s="8" t="inlineStr">
        <is>
          <t>Work order CRUD API</t>
        </is>
      </c>
      <c r="E20" s="9" t="n">
        <v>4</v>
      </c>
      <c r="F20" s="9" t="n">
        <v>6</v>
      </c>
      <c r="G20" s="9" t="n">
        <v>10</v>
      </c>
      <c r="H20" s="10">
        <f>(E20+4*F20+G20)/6</f>
        <v/>
      </c>
      <c r="I20" s="9" t="n">
        <v>4</v>
      </c>
      <c r="J20" s="9" t="n">
        <v>6</v>
      </c>
      <c r="K20" s="9" t="n">
        <v>10</v>
      </c>
      <c r="L20" s="10">
        <f>(I20+4*J20+K20)/6</f>
        <v/>
      </c>
      <c r="M20" s="10">
        <f>(K20-I20)/6</f>
        <v/>
      </c>
      <c r="N20" s="8" t="inlineStr">
        <is>
          <t>BED</t>
        </is>
      </c>
      <c r="O20" s="8" t="inlineStr">
        <is>
          <t>3.1.1</t>
        </is>
      </c>
      <c r="P20" s="8" t="inlineStr">
        <is>
          <t>R2</t>
        </is>
      </c>
      <c r="Q20" s="8" t="inlineStr">
        <is>
          <t>Full CRUD with offline conflict resolution</t>
        </is>
      </c>
      <c r="R20" s="8" t="inlineStr">
        <is>
          <t>Y</t>
        </is>
      </c>
      <c r="S20" s="10">
        <f>IF(R20="Y",H20,0)</f>
        <v/>
      </c>
    </row>
    <row r="21">
      <c r="A21" s="8" t="inlineStr">
        <is>
          <t>3.1.3</t>
        </is>
      </c>
      <c r="B21" s="8" t="n"/>
      <c r="C21" s="8" t="n"/>
      <c r="D21" s="8" t="inlineStr">
        <is>
          <t>File upload API</t>
        </is>
      </c>
      <c r="E21" s="9" t="n">
        <v>2</v>
      </c>
      <c r="F21" s="9" t="n">
        <v>3</v>
      </c>
      <c r="G21" s="9" t="n">
        <v>5</v>
      </c>
      <c r="H21" s="10">
        <f>(E21+4*F21+G21)/6</f>
        <v/>
      </c>
      <c r="I21" s="9" t="n">
        <v>2</v>
      </c>
      <c r="J21" s="9" t="n">
        <v>3</v>
      </c>
      <c r="K21" s="9" t="n">
        <v>5</v>
      </c>
      <c r="L21" s="10">
        <f>(I21+4*J21+K21)/6</f>
        <v/>
      </c>
      <c r="M21" s="10">
        <f>(K21-I21)/6</f>
        <v/>
      </c>
      <c r="N21" s="8" t="inlineStr">
        <is>
          <t>BED</t>
        </is>
      </c>
      <c r="O21" s="8" t="inlineStr">
        <is>
          <t>3.1.1</t>
        </is>
      </c>
      <c r="P21" s="8" t="inlineStr"/>
      <c r="Q21" s="8" t="inlineStr">
        <is>
          <t>Photo and document upload endpoint</t>
        </is>
      </c>
      <c r="R21" s="8" t="inlineStr">
        <is>
          <t>Y</t>
        </is>
      </c>
      <c r="S21" s="10">
        <f>IF(R21="Y",H21,0)</f>
        <v/>
      </c>
    </row>
    <row r="22">
      <c r="A22" s="5" t="inlineStr">
        <is>
          <t>3.2</t>
        </is>
      </c>
      <c r="B22" s="5" t="n"/>
      <c r="C22" s="5" t="inlineStr">
        <is>
          <t>Infrastructure</t>
        </is>
      </c>
      <c r="D22" s="5" t="n"/>
      <c r="E22" s="6">
        <f>SUM(E23:E25)</f>
        <v/>
      </c>
      <c r="F22" s="6">
        <f>SUM(F23:F25)</f>
        <v/>
      </c>
      <c r="G22" s="6">
        <f>SUM(G23:G25)</f>
        <v/>
      </c>
      <c r="H22" s="7">
        <f>(E22+4*F22+G22)/6</f>
        <v/>
      </c>
      <c r="I22" s="6">
        <f>SUM(I23:I25)</f>
        <v/>
      </c>
      <c r="J22" s="6">
        <f>SUM(J23:J25)</f>
        <v/>
      </c>
      <c r="K22" s="6">
        <f>SUM(K23:K25)</f>
        <v/>
      </c>
      <c r="L22" s="7">
        <f>(I22+4*J22+K22)/6</f>
        <v/>
      </c>
      <c r="M22" s="7">
        <f>(K22-I22)/6</f>
        <v/>
      </c>
      <c r="N22" s="5" t="n"/>
      <c r="O22" s="5" t="n"/>
      <c r="P22" s="5" t="n"/>
      <c r="Q22" s="5" t="n"/>
      <c r="R22" s="5" t="n"/>
      <c r="S22" s="7">
        <f>SUM(S23:S25)</f>
        <v/>
      </c>
    </row>
    <row r="23">
      <c r="A23" s="8" t="inlineStr">
        <is>
          <t>3.2.1</t>
        </is>
      </c>
      <c r="B23" s="8" t="n"/>
      <c r="C23" s="8" t="n"/>
      <c r="D23" s="8" t="inlineStr">
        <is>
          <t>Cloud environment setup</t>
        </is>
      </c>
      <c r="E23" s="9" t="n">
        <v>2</v>
      </c>
      <c r="F23" s="9" t="n">
        <v>3</v>
      </c>
      <c r="G23" s="9" t="n">
        <v>4</v>
      </c>
      <c r="H23" s="10">
        <f>(E23+4*F23+G23)/6</f>
        <v/>
      </c>
      <c r="I23" s="9" t="n">
        <v>2</v>
      </c>
      <c r="J23" s="9" t="n">
        <v>3</v>
      </c>
      <c r="K23" s="9" t="n">
        <v>4</v>
      </c>
      <c r="L23" s="10">
        <f>(I23+4*J23+K23)/6</f>
        <v/>
      </c>
      <c r="M23" s="10">
        <f>(K23-I23)/6</f>
        <v/>
      </c>
      <c r="N23" s="8" t="inlineStr">
        <is>
          <t>BED</t>
        </is>
      </c>
      <c r="O23" s="8" t="inlineStr">
        <is>
          <t>1.2.2</t>
        </is>
      </c>
      <c r="P23" s="8" t="inlineStr"/>
      <c r="Q23" s="8" t="inlineStr">
        <is>
          <t>AWS/GCP provisioning, CI/CD pipelines</t>
        </is>
      </c>
      <c r="R23" s="8" t="inlineStr">
        <is>
          <t>Y</t>
        </is>
      </c>
      <c r="S23" s="10">
        <f>IF(R23="Y",H23,0)</f>
        <v/>
      </c>
    </row>
    <row r="24">
      <c r="A24" s="8" t="inlineStr">
        <is>
          <t>3.2.2</t>
        </is>
      </c>
      <c r="B24" s="8" t="n"/>
      <c r="C24" s="8" t="n"/>
      <c r="D24" s="8" t="inlineStr">
        <is>
          <t>Push notification service</t>
        </is>
      </c>
      <c r="E24" s="9" t="n">
        <v>2</v>
      </c>
      <c r="F24" s="9" t="n">
        <v>3</v>
      </c>
      <c r="G24" s="9" t="n">
        <v>5</v>
      </c>
      <c r="H24" s="10">
        <f>(E24+4*F24+G24)/6</f>
        <v/>
      </c>
      <c r="I24" s="9" t="n">
        <v>2</v>
      </c>
      <c r="J24" s="9" t="n">
        <v>3</v>
      </c>
      <c r="K24" s="9" t="n">
        <v>5</v>
      </c>
      <c r="L24" s="10">
        <f>(I24+4*J24+K24)/6</f>
        <v/>
      </c>
      <c r="M24" s="10">
        <f>(K24-I24)/6</f>
        <v/>
      </c>
      <c r="N24" s="8" t="inlineStr">
        <is>
          <t>BED, MOB</t>
        </is>
      </c>
      <c r="O24" s="8" t="inlineStr">
        <is>
          <t>3.2.1</t>
        </is>
      </c>
      <c r="P24" s="8" t="inlineStr">
        <is>
          <t>R4</t>
        </is>
      </c>
      <c r="Q24" s="8" t="inlineStr">
        <is>
          <t>FCM/APNs integration</t>
        </is>
      </c>
      <c r="R24" s="8" t="inlineStr">
        <is>
          <t>Y</t>
        </is>
      </c>
      <c r="S24" s="10">
        <f>IF(R24="Y",H24,0)</f>
        <v/>
      </c>
    </row>
    <row r="25">
      <c r="A25" s="8" t="inlineStr">
        <is>
          <t>3.2.3</t>
        </is>
      </c>
      <c r="B25" s="8" t="n"/>
      <c r="C25" s="8" t="n"/>
      <c r="D25" s="8" t="inlineStr">
        <is>
          <t>Backend integration tests</t>
        </is>
      </c>
      <c r="E25" s="9" t="n">
        <v>3</v>
      </c>
      <c r="F25" s="9" t="n">
        <v>4</v>
      </c>
      <c r="G25" s="9" t="n">
        <v>7</v>
      </c>
      <c r="H25" s="10">
        <f>(E25+4*F25+G25)/6</f>
        <v/>
      </c>
      <c r="I25" s="9" t="n">
        <v>3</v>
      </c>
      <c r="J25" s="9" t="n">
        <v>4</v>
      </c>
      <c r="K25" s="9" t="n">
        <v>7</v>
      </c>
      <c r="L25" s="10">
        <f>(I25+4*J25+K25)/6</f>
        <v/>
      </c>
      <c r="M25" s="10">
        <f>(K25-I25)/6</f>
        <v/>
      </c>
      <c r="N25" s="8" t="inlineStr">
        <is>
          <t>QA, BED</t>
        </is>
      </c>
      <c r="O25" s="8" t="inlineStr">
        <is>
          <t>3.1.2, 3.1.3</t>
        </is>
      </c>
      <c r="P25" s="8" t="inlineStr"/>
      <c r="Q25" s="8" t="inlineStr">
        <is>
          <t>API contract testing and regression suite</t>
        </is>
      </c>
      <c r="R25" s="8" t="inlineStr">
        <is>
          <t>Y</t>
        </is>
      </c>
      <c r="S25" s="10">
        <f>IF(R25="Y",H25,0)</f>
        <v/>
      </c>
    </row>
    <row r="26">
      <c r="A26" s="2" t="inlineStr">
        <is>
          <t>4</t>
        </is>
      </c>
      <c r="B26" s="2" t="inlineStr">
        <is>
          <t>Mobile Development</t>
        </is>
      </c>
      <c r="C26" s="2" t="n"/>
      <c r="D26" s="2" t="n"/>
      <c r="E26" s="3">
        <f>SUM(E28,E29,E30,E32,E33)</f>
        <v/>
      </c>
      <c r="F26" s="3">
        <f>SUM(F28,F29,F30,F32,F33)</f>
        <v/>
      </c>
      <c r="G26" s="3">
        <f>SUM(G28,G29,G30,G32,G33)</f>
        <v/>
      </c>
      <c r="H26" s="4">
        <f>(E26+4*F26+G26)/6</f>
        <v/>
      </c>
      <c r="I26" s="3">
        <f>SUM(I28,I29,I30,I32,I33)</f>
        <v/>
      </c>
      <c r="J26" s="3">
        <f>SUM(J28,J29,J30,J32,J33)</f>
        <v/>
      </c>
      <c r="K26" s="3">
        <f>SUM(K28,K29,K30,K32,K33)</f>
        <v/>
      </c>
      <c r="L26" s="4">
        <f>(I26+4*J26+K26)/6</f>
        <v/>
      </c>
      <c r="M26" s="4">
        <f>(K26-I26)/6</f>
        <v/>
      </c>
      <c r="N26" s="2" t="n"/>
      <c r="O26" s="2" t="n"/>
      <c r="P26" s="2" t="n"/>
      <c r="Q26" s="2" t="n"/>
      <c r="R26" s="2" t="n"/>
      <c r="S26" s="4">
        <f>SUM(S28,S29,S30,S32,S33)</f>
        <v/>
      </c>
    </row>
    <row r="27">
      <c r="A27" s="5" t="inlineStr">
        <is>
          <t>4.1</t>
        </is>
      </c>
      <c r="B27" s="5" t="n"/>
      <c r="C27" s="5" t="inlineStr">
        <is>
          <t>Core Features</t>
        </is>
      </c>
      <c r="D27" s="5" t="n"/>
      <c r="E27" s="6">
        <f>SUM(E28:E30)</f>
        <v/>
      </c>
      <c r="F27" s="6">
        <f>SUM(F28:F30)</f>
        <v/>
      </c>
      <c r="G27" s="6">
        <f>SUM(G28:G30)</f>
        <v/>
      </c>
      <c r="H27" s="7">
        <f>(E27+4*F27+G27)/6</f>
        <v/>
      </c>
      <c r="I27" s="6">
        <f>SUM(I28:I30)</f>
        <v/>
      </c>
      <c r="J27" s="6">
        <f>SUM(J28:J30)</f>
        <v/>
      </c>
      <c r="K27" s="6">
        <f>SUM(K28:K30)</f>
        <v/>
      </c>
      <c r="L27" s="7">
        <f>(I27+4*J27+K27)/6</f>
        <v/>
      </c>
      <c r="M27" s="7">
        <f>(K27-I27)/6</f>
        <v/>
      </c>
      <c r="N27" s="5" t="n"/>
      <c r="O27" s="5" t="n"/>
      <c r="P27" s="5" t="n"/>
      <c r="Q27" s="5" t="n"/>
      <c r="R27" s="5" t="n"/>
      <c r="S27" s="7">
        <f>SUM(S28:S30)</f>
        <v/>
      </c>
    </row>
    <row r="28">
      <c r="A28" s="8" t="inlineStr">
        <is>
          <t>4.1.1</t>
        </is>
      </c>
      <c r="B28" s="8" t="n"/>
      <c r="C28" s="8" t="n"/>
      <c r="D28" s="8" t="inlineStr">
        <is>
          <t>Offline data sync module</t>
        </is>
      </c>
      <c r="E28" s="9" t="n">
        <v>4</v>
      </c>
      <c r="F28" s="9" t="n">
        <v>6</v>
      </c>
      <c r="G28" s="9" t="n">
        <v>10</v>
      </c>
      <c r="H28" s="10">
        <f>(E28+4*F28+G28)/6</f>
        <v/>
      </c>
      <c r="I28" s="9" t="n">
        <v>4</v>
      </c>
      <c r="J28" s="9" t="n">
        <v>6</v>
      </c>
      <c r="K28" s="9" t="n">
        <v>10</v>
      </c>
      <c r="L28" s="10">
        <f>(I28+4*J28+K28)/6</f>
        <v/>
      </c>
      <c r="M28" s="10">
        <f>(K28-I28)/6</f>
        <v/>
      </c>
      <c r="N28" s="8" t="inlineStr">
        <is>
          <t>MOB</t>
        </is>
      </c>
      <c r="O28" s="8" t="inlineStr">
        <is>
          <t>3.1.2</t>
        </is>
      </c>
      <c r="P28" s="8" t="inlineStr">
        <is>
          <t>R2</t>
        </is>
      </c>
      <c r="Q28" s="8" t="inlineStr">
        <is>
          <t>SQLite local store, sync queue</t>
        </is>
      </c>
      <c r="R28" s="8" t="inlineStr">
        <is>
          <t>Y</t>
        </is>
      </c>
      <c r="S28" s="10">
        <f>IF(R28="Y",H28,0)</f>
        <v/>
      </c>
    </row>
    <row r="29">
      <c r="A29" s="8" t="inlineStr">
        <is>
          <t>4.1.2</t>
        </is>
      </c>
      <c r="B29" s="8" t="n"/>
      <c r="C29" s="8" t="n"/>
      <c r="D29" s="8" t="inlineStr">
        <is>
          <t>Work order UI</t>
        </is>
      </c>
      <c r="E29" s="9" t="n">
        <v>5</v>
      </c>
      <c r="F29" s="9" t="n">
        <v>7</v>
      </c>
      <c r="G29" s="9" t="n">
        <v>12</v>
      </c>
      <c r="H29" s="10">
        <f>(E29+4*F29+G29)/6</f>
        <v/>
      </c>
      <c r="I29" s="9" t="n">
        <v>5</v>
      </c>
      <c r="J29" s="9" t="n">
        <v>7</v>
      </c>
      <c r="K29" s="9" t="n">
        <v>12</v>
      </c>
      <c r="L29" s="10">
        <f>(I29+4*J29+K29)/6</f>
        <v/>
      </c>
      <c r="M29" s="10">
        <f>(K29-I29)/6</f>
        <v/>
      </c>
      <c r="N29" s="8" t="inlineStr">
        <is>
          <t>MOB</t>
        </is>
      </c>
      <c r="O29" s="8" t="inlineStr">
        <is>
          <t>2.2.3, 3.1.2</t>
        </is>
      </c>
      <c r="P29" s="8" t="inlineStr">
        <is>
          <t>R6</t>
        </is>
      </c>
      <c r="Q29" s="8" t="inlineStr">
        <is>
          <t>Create, view, update work orders on device</t>
        </is>
      </c>
      <c r="R29" s="8" t="inlineStr">
        <is>
          <t>Y</t>
        </is>
      </c>
      <c r="S29" s="10">
        <f>IF(R29="Y",H29,0)</f>
        <v/>
      </c>
    </row>
    <row r="30">
      <c r="A30" s="8" t="inlineStr">
        <is>
          <t>4.1.3</t>
        </is>
      </c>
      <c r="B30" s="8" t="n"/>
      <c r="C30" s="8" t="n"/>
      <c r="D30" s="8" t="inlineStr">
        <is>
          <t>Photo and signature capture</t>
        </is>
      </c>
      <c r="E30" s="9" t="n">
        <v>3</v>
      </c>
      <c r="F30" s="9" t="n">
        <v>4</v>
      </c>
      <c r="G30" s="9" t="n">
        <v>7</v>
      </c>
      <c r="H30" s="10">
        <f>(E30+4*F30+G30)/6</f>
        <v/>
      </c>
      <c r="I30" s="9" t="n">
        <v>3</v>
      </c>
      <c r="J30" s="9" t="n">
        <v>4</v>
      </c>
      <c r="K30" s="9" t="n">
        <v>7</v>
      </c>
      <c r="L30" s="10">
        <f>(I30+4*J30+K30)/6</f>
        <v/>
      </c>
      <c r="M30" s="10">
        <f>(K30-I30)/6</f>
        <v/>
      </c>
      <c r="N30" s="8" t="inlineStr">
        <is>
          <t>MOB</t>
        </is>
      </c>
      <c r="O30" s="8" t="inlineStr">
        <is>
          <t>4.1.2</t>
        </is>
      </c>
      <c r="P30" s="8" t="inlineStr">
        <is>
          <t>R6</t>
        </is>
      </c>
      <c r="Q30" s="8" t="inlineStr">
        <is>
          <t>Camera integration, signature pad</t>
        </is>
      </c>
      <c r="R30" s="8" t="inlineStr">
        <is>
          <t>Y</t>
        </is>
      </c>
      <c r="S30" s="10">
        <f>IF(R30="Y",H30,0)</f>
        <v/>
      </c>
    </row>
    <row r="31">
      <c r="A31" s="5" t="inlineStr">
        <is>
          <t>4.2</t>
        </is>
      </c>
      <c r="B31" s="5" t="n"/>
      <c r="C31" s="5" t="inlineStr">
        <is>
          <t>Integration and Testing</t>
        </is>
      </c>
      <c r="D31" s="5" t="n"/>
      <c r="E31" s="6">
        <f>SUM(E32:E33)</f>
        <v/>
      </c>
      <c r="F31" s="6">
        <f>SUM(F32:F33)</f>
        <v/>
      </c>
      <c r="G31" s="6">
        <f>SUM(G32:G33)</f>
        <v/>
      </c>
      <c r="H31" s="7">
        <f>(E31+4*F31+G31)/6</f>
        <v/>
      </c>
      <c r="I31" s="6">
        <f>SUM(I32:I33)</f>
        <v/>
      </c>
      <c r="J31" s="6">
        <f>SUM(J32:J33)</f>
        <v/>
      </c>
      <c r="K31" s="6">
        <f>SUM(K32:K33)</f>
        <v/>
      </c>
      <c r="L31" s="7">
        <f>(I31+4*J31+K31)/6</f>
        <v/>
      </c>
      <c r="M31" s="7">
        <f>(K31-I31)/6</f>
        <v/>
      </c>
      <c r="N31" s="5" t="n"/>
      <c r="O31" s="5" t="n"/>
      <c r="P31" s="5" t="n"/>
      <c r="Q31" s="5" t="n"/>
      <c r="R31" s="5" t="n"/>
      <c r="S31" s="7">
        <f>SUM(S32:S33)</f>
        <v/>
      </c>
    </row>
    <row r="32">
      <c r="A32" s="8" t="inlineStr">
        <is>
          <t>4.2.1</t>
        </is>
      </c>
      <c r="B32" s="8" t="n"/>
      <c r="C32" s="8" t="n"/>
      <c r="D32" s="8" t="inlineStr">
        <is>
          <t>Backend integration</t>
        </is>
      </c>
      <c r="E32" s="9" t="n">
        <v>3</v>
      </c>
      <c r="F32" s="9" t="n">
        <v>5</v>
      </c>
      <c r="G32" s="9" t="n">
        <v>8</v>
      </c>
      <c r="H32" s="10">
        <f>(E32+4*F32+G32)/6</f>
        <v/>
      </c>
      <c r="I32" s="9" t="n">
        <v>3</v>
      </c>
      <c r="J32" s="9" t="n">
        <v>5</v>
      </c>
      <c r="K32" s="9" t="n">
        <v>8</v>
      </c>
      <c r="L32" s="10">
        <f>(I32+4*J32+K32)/6</f>
        <v/>
      </c>
      <c r="M32" s="10">
        <f>(K32-I32)/6</f>
        <v/>
      </c>
      <c r="N32" s="8" t="inlineStr">
        <is>
          <t>MOB, BED</t>
        </is>
      </c>
      <c r="O32" s="8" t="inlineStr">
        <is>
          <t>4.1.1, 3.2.2</t>
        </is>
      </c>
      <c r="P32" s="8" t="inlineStr">
        <is>
          <t>R2</t>
        </is>
      </c>
      <c r="Q32" s="8" t="inlineStr">
        <is>
          <t>End-to-end API wiring with mobile app</t>
        </is>
      </c>
      <c r="R32" s="8" t="inlineStr">
        <is>
          <t>Y</t>
        </is>
      </c>
      <c r="S32" s="10">
        <f>IF(R32="Y",H32,0)</f>
        <v/>
      </c>
    </row>
    <row r="33">
      <c r="A33" s="8" t="inlineStr">
        <is>
          <t>4.2.2</t>
        </is>
      </c>
      <c r="B33" s="8" t="n"/>
      <c r="C33" s="8" t="n"/>
      <c r="D33" s="8" t="inlineStr">
        <is>
          <t>Mobile E2E testing</t>
        </is>
      </c>
      <c r="E33" s="9" t="n">
        <v>4</v>
      </c>
      <c r="F33" s="9" t="n">
        <v>5</v>
      </c>
      <c r="G33" s="9" t="n">
        <v>8</v>
      </c>
      <c r="H33" s="10">
        <f>(E33+4*F33+G33)/6</f>
        <v/>
      </c>
      <c r="I33" s="9" t="n">
        <v>4</v>
      </c>
      <c r="J33" s="9" t="n">
        <v>5</v>
      </c>
      <c r="K33" s="9" t="n">
        <v>8</v>
      </c>
      <c r="L33" s="10">
        <f>(I33+4*J33+K33)/6</f>
        <v/>
      </c>
      <c r="M33" s="10">
        <f>(K33-I33)/6</f>
        <v/>
      </c>
      <c r="N33" s="8" t="inlineStr">
        <is>
          <t>QA</t>
        </is>
      </c>
      <c r="O33" s="8" t="inlineStr">
        <is>
          <t>4.1.3, 4.2.1</t>
        </is>
      </c>
      <c r="P33" s="8" t="inlineStr">
        <is>
          <t>R6</t>
        </is>
      </c>
      <c r="Q33" s="8" t="inlineStr">
        <is>
          <t>Device farm, iOS + Android regression</t>
        </is>
      </c>
      <c r="R33" s="8" t="inlineStr">
        <is>
          <t>Y</t>
        </is>
      </c>
      <c r="S33" s="10">
        <f>IF(R33="Y",H33,0)</f>
        <v/>
      </c>
    </row>
    <row r="34">
      <c r="A34" s="2" t="inlineStr">
        <is>
          <t>5</t>
        </is>
      </c>
      <c r="B34" s="2" t="inlineStr">
        <is>
          <t>Launch</t>
        </is>
      </c>
      <c r="C34" s="2" t="n"/>
      <c r="D34" s="2" t="n"/>
      <c r="E34" s="3">
        <f>SUM(E36,E37,E38)</f>
        <v/>
      </c>
      <c r="F34" s="3">
        <f>SUM(F36,F37,F38)</f>
        <v/>
      </c>
      <c r="G34" s="3">
        <f>SUM(G36,G37,G38)</f>
        <v/>
      </c>
      <c r="H34" s="4">
        <f>(E34+4*F34+G34)/6</f>
        <v/>
      </c>
      <c r="I34" s="3">
        <f>SUM(I36,I37,I38)</f>
        <v/>
      </c>
      <c r="J34" s="3">
        <f>SUM(J36,J37,J38)</f>
        <v/>
      </c>
      <c r="K34" s="3">
        <f>SUM(K36,K37,K38)</f>
        <v/>
      </c>
      <c r="L34" s="4">
        <f>(I34+4*J34+K34)/6</f>
        <v/>
      </c>
      <c r="M34" s="4">
        <f>(K34-I34)/6</f>
        <v/>
      </c>
      <c r="N34" s="2" t="n"/>
      <c r="O34" s="2" t="n"/>
      <c r="P34" s="2" t="n"/>
      <c r="Q34" s="2" t="n"/>
      <c r="R34" s="2" t="n"/>
      <c r="S34" s="4">
        <f>SUM(S36,S37,S38)</f>
        <v/>
      </c>
    </row>
    <row r="35">
      <c r="A35" s="5" t="inlineStr">
        <is>
          <t>5.1</t>
        </is>
      </c>
      <c r="B35" s="5" t="n"/>
      <c r="C35" s="5" t="inlineStr">
        <is>
          <t>Release</t>
        </is>
      </c>
      <c r="D35" s="5" t="n"/>
      <c r="E35" s="6">
        <f>SUM(E36:E38)</f>
        <v/>
      </c>
      <c r="F35" s="6">
        <f>SUM(F36:F38)</f>
        <v/>
      </c>
      <c r="G35" s="6">
        <f>SUM(G36:G38)</f>
        <v/>
      </c>
      <c r="H35" s="7">
        <f>(E35+4*F35+G35)/6</f>
        <v/>
      </c>
      <c r="I35" s="6">
        <f>SUM(I36:I38)</f>
        <v/>
      </c>
      <c r="J35" s="6">
        <f>SUM(J36:J38)</f>
        <v/>
      </c>
      <c r="K35" s="6">
        <f>SUM(K36:K38)</f>
        <v/>
      </c>
      <c r="L35" s="7">
        <f>(I35+4*J35+K35)/6</f>
        <v/>
      </c>
      <c r="M35" s="7">
        <f>(K35-I35)/6</f>
        <v/>
      </c>
      <c r="N35" s="5" t="n"/>
      <c r="O35" s="5" t="n"/>
      <c r="P35" s="5" t="n"/>
      <c r="Q35" s="5" t="n"/>
      <c r="R35" s="5" t="n"/>
      <c r="S35" s="7">
        <f>SUM(S36:S38)</f>
        <v/>
      </c>
    </row>
    <row r="36">
      <c r="A36" s="8" t="inlineStr">
        <is>
          <t>5.1.1</t>
        </is>
      </c>
      <c r="B36" s="8" t="n"/>
      <c r="C36" s="8" t="n"/>
      <c r="D36" s="8" t="inlineStr">
        <is>
          <t>App store submission</t>
        </is>
      </c>
      <c r="E36" s="9" t="n">
        <v>2</v>
      </c>
      <c r="F36" s="9" t="n">
        <v>3</v>
      </c>
      <c r="G36" s="9" t="n">
        <v>5</v>
      </c>
      <c r="H36" s="10">
        <f>(E36+4*F36+G36)/6</f>
        <v/>
      </c>
      <c r="I36" s="9" t="n">
        <v>2</v>
      </c>
      <c r="J36" s="9" t="n">
        <v>3</v>
      </c>
      <c r="K36" s="9" t="n">
        <v>5</v>
      </c>
      <c r="L36" s="10">
        <f>(I36+4*J36+K36)/6</f>
        <v/>
      </c>
      <c r="M36" s="10">
        <f>(K36-I36)/6</f>
        <v/>
      </c>
      <c r="N36" s="8" t="inlineStr">
        <is>
          <t>MOB, PO</t>
        </is>
      </c>
      <c r="O36" s="8" t="inlineStr">
        <is>
          <t>4.2.2</t>
        </is>
      </c>
      <c r="P36" s="8" t="inlineStr">
        <is>
          <t>R1</t>
        </is>
      </c>
      <c r="Q36" s="8" t="inlineStr">
        <is>
          <t>iOS App Store + Google Play submission</t>
        </is>
      </c>
      <c r="R36" s="8" t="inlineStr">
        <is>
          <t>Y</t>
        </is>
      </c>
      <c r="S36" s="10">
        <f>IF(R36="Y",H36,0)</f>
        <v/>
      </c>
    </row>
    <row r="37">
      <c r="A37" s="8" t="inlineStr">
        <is>
          <t>5.1.2</t>
        </is>
      </c>
      <c r="B37" s="8" t="n"/>
      <c r="C37" s="8" t="n"/>
      <c r="D37" s="8" t="inlineStr">
        <is>
          <t>UAT with pilot users</t>
        </is>
      </c>
      <c r="E37" s="9" t="n">
        <v>3</v>
      </c>
      <c r="F37" s="9" t="n">
        <v>4</v>
      </c>
      <c r="G37" s="9" t="n">
        <v>6</v>
      </c>
      <c r="H37" s="10">
        <f>(E37+4*F37+G37)/6</f>
        <v/>
      </c>
      <c r="I37" s="9" t="n">
        <v>3</v>
      </c>
      <c r="J37" s="9" t="n">
        <v>4</v>
      </c>
      <c r="K37" s="9" t="n">
        <v>6</v>
      </c>
      <c r="L37" s="10">
        <f>(I37+4*J37+K37)/6</f>
        <v/>
      </c>
      <c r="M37" s="10">
        <f>(K37-I37)/6</f>
        <v/>
      </c>
      <c r="N37" s="8" t="inlineStr">
        <is>
          <t>QA, PO</t>
        </is>
      </c>
      <c r="O37" s="8" t="inlineStr">
        <is>
          <t>5.1.1</t>
        </is>
      </c>
      <c r="P37" s="8" t="inlineStr">
        <is>
          <t>R5</t>
        </is>
      </c>
      <c r="Q37" s="8" t="inlineStr">
        <is>
          <t>Pilot group of 10 field technicians</t>
        </is>
      </c>
      <c r="R37" s="8" t="inlineStr">
        <is>
          <t>Y</t>
        </is>
      </c>
      <c r="S37" s="10">
        <f>IF(R37="Y",H37,0)</f>
        <v/>
      </c>
    </row>
    <row r="38">
      <c r="A38" s="8" t="inlineStr">
        <is>
          <t>5.1.3</t>
        </is>
      </c>
      <c r="B38" s="8" t="n"/>
      <c r="C38" s="8" t="n"/>
      <c r="D38" s="8" t="inlineStr">
        <is>
          <t>Go-live and monitoring</t>
        </is>
      </c>
      <c r="E38" s="9" t="n">
        <v>2</v>
      </c>
      <c r="F38" s="9" t="n">
        <v>3</v>
      </c>
      <c r="G38" s="9" t="n">
        <v>5</v>
      </c>
      <c r="H38" s="10">
        <f>(E38+4*F38+G38)/6</f>
        <v/>
      </c>
      <c r="I38" s="9" t="n">
        <v>2</v>
      </c>
      <c r="J38" s="9" t="n">
        <v>3</v>
      </c>
      <c r="K38" s="9" t="n">
        <v>5</v>
      </c>
      <c r="L38" s="10">
        <f>(I38+4*J38+K38)/6</f>
        <v/>
      </c>
      <c r="M38" s="10">
        <f>(K38-I38)/6</f>
        <v/>
      </c>
      <c r="N38" s="8" t="inlineStr">
        <is>
          <t>BED, MOB</t>
        </is>
      </c>
      <c r="O38" s="8" t="inlineStr">
        <is>
          <t>5.1.2</t>
        </is>
      </c>
      <c r="P38" s="8" t="inlineStr"/>
      <c r="Q38" s="8" t="inlineStr">
        <is>
          <t>Production deployment, alerting dashboards</t>
        </is>
      </c>
      <c r="R38" s="8" t="inlineStr">
        <is>
          <t>Y</t>
        </is>
      </c>
      <c r="S38" s="10">
        <f>IF(R38="Y",H38,0)</f>
        <v/>
      </c>
    </row>
    <row r="39">
      <c r="A39" s="11" t="inlineStr">
        <is>
          <t>TOTAL</t>
        </is>
      </c>
      <c r="B39" s="11" t="n"/>
      <c r="C39" s="11" t="n"/>
      <c r="D39" s="11" t="n"/>
      <c r="E39" s="12">
        <f>SUM(E2,E9,E17,E26,E34)</f>
        <v/>
      </c>
      <c r="F39" s="12">
        <f>SUM(F2,F9,F17,F26,F34)</f>
        <v/>
      </c>
      <c r="G39" s="12">
        <f>SUM(G2,G9,G17,G26,G34)</f>
        <v/>
      </c>
      <c r="H39" s="13">
        <f>SUM(H2,H9,H17,H26,H34)</f>
        <v/>
      </c>
      <c r="I39" s="12">
        <f>SUM(I2,I9,I17,I26,I34)</f>
        <v/>
      </c>
      <c r="J39" s="12">
        <f>SUM(J2,J9,J17,J26,J34)</f>
        <v/>
      </c>
      <c r="K39" s="12">
        <f>SUM(K2,K9,K17,K26,K34)</f>
        <v/>
      </c>
      <c r="L39" s="13">
        <f>SUM(L2,L9,L17,L26,L34)</f>
        <v/>
      </c>
      <c r="M39" s="13">
        <f>SUM(M2,M9,M17,M26,M34)</f>
        <v/>
      </c>
      <c r="N39" s="11" t="n"/>
      <c r="O39" s="11" t="n"/>
      <c r="P39" s="11" t="n"/>
      <c r="Q39" s="11" t="n"/>
      <c r="R39" s="11" t="n"/>
      <c r="S39" s="13">
        <f>SUM(S2,S9,S17,S26,S34)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2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</cols>
  <sheetData>
    <row r="1">
      <c r="A1" s="1" t="inlineStr">
        <is>
          <t>ID</t>
        </is>
      </c>
      <c r="B1" s="1" t="inlineStr">
        <is>
          <t>Phase/WP/Activity</t>
        </is>
      </c>
      <c r="C1" s="1" t="inlineStr">
        <is>
          <t>PERT Duration</t>
        </is>
      </c>
      <c r="D1" s="1" t="inlineStr">
        <is>
          <t>σ</t>
        </is>
      </c>
      <c r="E1" s="1" t="inlineStr">
        <is>
          <t>P1</t>
        </is>
      </c>
      <c r="F1" s="1" t="inlineStr">
        <is>
          <t>P2</t>
        </is>
      </c>
      <c r="G1" s="1" t="inlineStr">
        <is>
          <t>P3</t>
        </is>
      </c>
      <c r="H1" s="1" t="inlineStr">
        <is>
          <t>P4</t>
        </is>
      </c>
      <c r="I1" s="1" t="inlineStr">
        <is>
          <t>P5</t>
        </is>
      </c>
      <c r="J1" s="1" t="inlineStr">
        <is>
          <t>P6</t>
        </is>
      </c>
    </row>
    <row r="2">
      <c r="A2">
        <f>WBS!A2</f>
        <v/>
      </c>
      <c r="B2">
        <f>WBS!B2&amp;IF(WBS!C2&lt;&gt;"", " "&amp;WBS!C2, "")&amp;IF(WBS!D2&lt;&gt;"", " "&amp;WBS!D2, "")</f>
        <v/>
      </c>
      <c r="C2">
        <f>WBS!L2</f>
        <v/>
      </c>
      <c r="D2">
        <f>WBS!M2</f>
        <v/>
      </c>
    </row>
    <row r="3">
      <c r="A3">
        <f>WBS!A3</f>
        <v/>
      </c>
      <c r="B3">
        <f>WBS!B3&amp;IF(WBS!C3&lt;&gt;"", " "&amp;WBS!C3, "")&amp;IF(WBS!D3&lt;&gt;"", " "&amp;WBS!D3, "")</f>
        <v/>
      </c>
      <c r="C3">
        <f>WBS!L3</f>
        <v/>
      </c>
      <c r="D3">
        <f>WBS!M3</f>
        <v/>
      </c>
    </row>
    <row r="4">
      <c r="A4">
        <f>WBS!A4</f>
        <v/>
      </c>
      <c r="B4">
        <f>WBS!B4&amp;IF(WBS!C4&lt;&gt;"", " "&amp;WBS!C4, "")&amp;IF(WBS!D4&lt;&gt;"", " "&amp;WBS!D4, "")</f>
        <v/>
      </c>
      <c r="C4">
        <f>WBS!L4</f>
        <v/>
      </c>
      <c r="D4">
        <f>WBS!M4</f>
        <v/>
      </c>
      <c r="E4" s="14" t="n"/>
    </row>
    <row r="5">
      <c r="A5">
        <f>WBS!A5</f>
        <v/>
      </c>
      <c r="B5">
        <f>WBS!B5&amp;IF(WBS!C5&lt;&gt;"", " "&amp;WBS!C5, "")&amp;IF(WBS!D5&lt;&gt;"", " "&amp;WBS!D5, "")</f>
        <v/>
      </c>
      <c r="C5">
        <f>WBS!L5</f>
        <v/>
      </c>
      <c r="D5">
        <f>WBS!M5</f>
        <v/>
      </c>
      <c r="E5" s="14" t="n"/>
    </row>
    <row r="6">
      <c r="A6">
        <f>WBS!A6</f>
        <v/>
      </c>
      <c r="B6">
        <f>WBS!B6&amp;IF(WBS!C6&lt;&gt;"", " "&amp;WBS!C6, "")&amp;IF(WBS!D6&lt;&gt;"", " "&amp;WBS!D6, "")</f>
        <v/>
      </c>
      <c r="C6">
        <f>WBS!L6</f>
        <v/>
      </c>
      <c r="D6">
        <f>WBS!M6</f>
        <v/>
      </c>
    </row>
    <row r="7">
      <c r="A7">
        <f>WBS!A7</f>
        <v/>
      </c>
      <c r="B7">
        <f>WBS!B7&amp;IF(WBS!C7&lt;&gt;"", " "&amp;WBS!C7, "")&amp;IF(WBS!D7&lt;&gt;"", " "&amp;WBS!D7, "")</f>
        <v/>
      </c>
      <c r="C7">
        <f>WBS!L7</f>
        <v/>
      </c>
      <c r="D7">
        <f>WBS!M7</f>
        <v/>
      </c>
      <c r="E7" s="15" t="n"/>
      <c r="F7" s="15" t="n"/>
    </row>
    <row r="8">
      <c r="A8">
        <f>WBS!A8</f>
        <v/>
      </c>
      <c r="B8">
        <f>WBS!B8&amp;IF(WBS!C8&lt;&gt;"", " "&amp;WBS!C8, "")&amp;IF(WBS!D8&lt;&gt;"", " "&amp;WBS!D8, "")</f>
        <v/>
      </c>
      <c r="C8">
        <f>WBS!L8</f>
        <v/>
      </c>
      <c r="D8">
        <f>WBS!M8</f>
        <v/>
      </c>
      <c r="F8" s="15" t="n"/>
    </row>
    <row r="9">
      <c r="A9">
        <f>WBS!A9</f>
        <v/>
      </c>
      <c r="B9">
        <f>WBS!B9&amp;IF(WBS!C9&lt;&gt;"", " "&amp;WBS!C9, "")&amp;IF(WBS!D9&lt;&gt;"", " "&amp;WBS!D9, "")</f>
        <v/>
      </c>
      <c r="C9">
        <f>WBS!L9</f>
        <v/>
      </c>
      <c r="D9">
        <f>WBS!M9</f>
        <v/>
      </c>
    </row>
    <row r="10">
      <c r="A10">
        <f>WBS!A10</f>
        <v/>
      </c>
      <c r="B10">
        <f>WBS!B10&amp;IF(WBS!C10&lt;&gt;"", " "&amp;WBS!C10, "")&amp;IF(WBS!D10&lt;&gt;"", " "&amp;WBS!D10, "")</f>
        <v/>
      </c>
      <c r="C10">
        <f>WBS!L10</f>
        <v/>
      </c>
      <c r="D10">
        <f>WBS!M10</f>
        <v/>
      </c>
    </row>
    <row r="11">
      <c r="A11">
        <f>WBS!A11</f>
        <v/>
      </c>
      <c r="B11">
        <f>WBS!B11&amp;IF(WBS!C11&lt;&gt;"", " "&amp;WBS!C11, "")&amp;IF(WBS!D11&lt;&gt;"", " "&amp;WBS!D11, "")</f>
        <v/>
      </c>
      <c r="C11">
        <f>WBS!L11</f>
        <v/>
      </c>
      <c r="D11">
        <f>WBS!M11</f>
        <v/>
      </c>
      <c r="E11" s="14" t="n"/>
      <c r="F11" s="14" t="n"/>
    </row>
    <row r="12">
      <c r="A12">
        <f>WBS!A12</f>
        <v/>
      </c>
      <c r="B12">
        <f>WBS!B12&amp;IF(WBS!C12&lt;&gt;"", " "&amp;WBS!C12, "")&amp;IF(WBS!D12&lt;&gt;"", " "&amp;WBS!D12, "")</f>
        <v/>
      </c>
      <c r="C12">
        <f>WBS!L12</f>
        <v/>
      </c>
      <c r="D12">
        <f>WBS!M12</f>
        <v/>
      </c>
      <c r="F12" s="14" t="n"/>
    </row>
    <row r="13">
      <c r="A13">
        <f>WBS!A13</f>
        <v/>
      </c>
      <c r="B13">
        <f>WBS!B13&amp;IF(WBS!C13&lt;&gt;"", " "&amp;WBS!C13, "")&amp;IF(WBS!D13&lt;&gt;"", " "&amp;WBS!D13, "")</f>
        <v/>
      </c>
      <c r="C13">
        <f>WBS!L13</f>
        <v/>
      </c>
      <c r="D13">
        <f>WBS!M13</f>
        <v/>
      </c>
    </row>
    <row r="14">
      <c r="A14">
        <f>WBS!A14</f>
        <v/>
      </c>
      <c r="B14">
        <f>WBS!B14&amp;IF(WBS!C14&lt;&gt;"", " "&amp;WBS!C14, "")&amp;IF(WBS!D14&lt;&gt;"", " "&amp;WBS!D14, "")</f>
        <v/>
      </c>
      <c r="C14">
        <f>WBS!L14</f>
        <v/>
      </c>
      <c r="D14">
        <f>WBS!M14</f>
        <v/>
      </c>
      <c r="F14" s="14" t="n"/>
      <c r="G14" s="14" t="n"/>
    </row>
    <row r="15">
      <c r="A15">
        <f>WBS!A15</f>
        <v/>
      </c>
      <c r="B15">
        <f>WBS!B15&amp;IF(WBS!C15&lt;&gt;"", " "&amp;WBS!C15, "")&amp;IF(WBS!D15&lt;&gt;"", " "&amp;WBS!D15, "")</f>
        <v/>
      </c>
      <c r="C15">
        <f>WBS!L15</f>
        <v/>
      </c>
      <c r="D15">
        <f>WBS!M15</f>
        <v/>
      </c>
      <c r="G15" s="14" t="n"/>
    </row>
    <row r="16">
      <c r="A16">
        <f>WBS!A16</f>
        <v/>
      </c>
      <c r="B16">
        <f>WBS!B16&amp;IF(WBS!C16&lt;&gt;"", " "&amp;WBS!C16, "")&amp;IF(WBS!D16&lt;&gt;"", " "&amp;WBS!D16, "")</f>
        <v/>
      </c>
      <c r="C16">
        <f>WBS!L16</f>
        <v/>
      </c>
      <c r="D16">
        <f>WBS!M16</f>
        <v/>
      </c>
      <c r="G16" s="14" t="n"/>
    </row>
    <row r="17">
      <c r="A17">
        <f>WBS!A17</f>
        <v/>
      </c>
      <c r="B17">
        <f>WBS!B17&amp;IF(WBS!C17&lt;&gt;"", " "&amp;WBS!C17, "")&amp;IF(WBS!D17&lt;&gt;"", " "&amp;WBS!D17, "")</f>
        <v/>
      </c>
      <c r="C17">
        <f>WBS!L17</f>
        <v/>
      </c>
      <c r="D17">
        <f>WBS!M17</f>
        <v/>
      </c>
    </row>
    <row r="18">
      <c r="A18">
        <f>WBS!A18</f>
        <v/>
      </c>
      <c r="B18">
        <f>WBS!B18&amp;IF(WBS!C18&lt;&gt;"", " "&amp;WBS!C18, "")&amp;IF(WBS!D18&lt;&gt;"", " "&amp;WBS!D18, "")</f>
        <v/>
      </c>
      <c r="C18">
        <f>WBS!L18</f>
        <v/>
      </c>
      <c r="D18">
        <f>WBS!M18</f>
        <v/>
      </c>
    </row>
    <row r="19">
      <c r="A19">
        <f>WBS!A19</f>
        <v/>
      </c>
      <c r="B19">
        <f>WBS!B19&amp;IF(WBS!C19&lt;&gt;"", " "&amp;WBS!C19, "")&amp;IF(WBS!D19&lt;&gt;"", " "&amp;WBS!D19, "")</f>
        <v/>
      </c>
      <c r="C19">
        <f>WBS!L19</f>
        <v/>
      </c>
      <c r="D19">
        <f>WBS!M19</f>
        <v/>
      </c>
      <c r="F19" s="15" t="n"/>
    </row>
    <row r="20">
      <c r="A20">
        <f>WBS!A20</f>
        <v/>
      </c>
      <c r="B20">
        <f>WBS!B20&amp;IF(WBS!C20&lt;&gt;"", " "&amp;WBS!C20, "")&amp;IF(WBS!D20&lt;&gt;"", " "&amp;WBS!D20, "")</f>
        <v/>
      </c>
      <c r="C20">
        <f>WBS!L20</f>
        <v/>
      </c>
      <c r="D20">
        <f>WBS!M20</f>
        <v/>
      </c>
      <c r="F20" s="15" t="n"/>
      <c r="G20" s="15" t="n"/>
    </row>
    <row r="21">
      <c r="A21">
        <f>WBS!A21</f>
        <v/>
      </c>
      <c r="B21">
        <f>WBS!B21&amp;IF(WBS!C21&lt;&gt;"", " "&amp;WBS!C21, "")&amp;IF(WBS!D21&lt;&gt;"", " "&amp;WBS!D21, "")</f>
        <v/>
      </c>
      <c r="C21">
        <f>WBS!L21</f>
        <v/>
      </c>
      <c r="D21">
        <f>WBS!M21</f>
        <v/>
      </c>
      <c r="F21" s="15" t="n"/>
      <c r="G21" s="15" t="n"/>
    </row>
    <row r="22">
      <c r="A22">
        <f>WBS!A22</f>
        <v/>
      </c>
      <c r="B22">
        <f>WBS!B22&amp;IF(WBS!C22&lt;&gt;"", " "&amp;WBS!C22, "")&amp;IF(WBS!D22&lt;&gt;"", " "&amp;WBS!D22, "")</f>
        <v/>
      </c>
      <c r="C22">
        <f>WBS!L22</f>
        <v/>
      </c>
      <c r="D22">
        <f>WBS!M22</f>
        <v/>
      </c>
    </row>
    <row r="23">
      <c r="A23">
        <f>WBS!A23</f>
        <v/>
      </c>
      <c r="B23">
        <f>WBS!B23&amp;IF(WBS!C23&lt;&gt;"", " "&amp;WBS!C23, "")&amp;IF(WBS!D23&lt;&gt;"", " "&amp;WBS!D23, "")</f>
        <v/>
      </c>
      <c r="C23">
        <f>WBS!L23</f>
        <v/>
      </c>
      <c r="D23">
        <f>WBS!M23</f>
        <v/>
      </c>
      <c r="F23" s="15" t="n"/>
    </row>
    <row r="24">
      <c r="A24">
        <f>WBS!A24</f>
        <v/>
      </c>
      <c r="B24">
        <f>WBS!B24&amp;IF(WBS!C24&lt;&gt;"", " "&amp;WBS!C24, "")&amp;IF(WBS!D24&lt;&gt;"", " "&amp;WBS!D24, "")</f>
        <v/>
      </c>
      <c r="C24">
        <f>WBS!L24</f>
        <v/>
      </c>
      <c r="D24">
        <f>WBS!M24</f>
        <v/>
      </c>
      <c r="F24" s="15" t="n"/>
    </row>
    <row r="25">
      <c r="A25">
        <f>WBS!A25</f>
        <v/>
      </c>
      <c r="B25">
        <f>WBS!B25&amp;IF(WBS!C25&lt;&gt;"", " "&amp;WBS!C25, "")&amp;IF(WBS!D25&lt;&gt;"", " "&amp;WBS!D25, "")</f>
        <v/>
      </c>
      <c r="C25">
        <f>WBS!L25</f>
        <v/>
      </c>
      <c r="D25">
        <f>WBS!M25</f>
        <v/>
      </c>
      <c r="G25" s="15" t="n"/>
    </row>
    <row r="26">
      <c r="A26">
        <f>WBS!A26</f>
        <v/>
      </c>
      <c r="B26">
        <f>WBS!B26&amp;IF(WBS!C26&lt;&gt;"", " "&amp;WBS!C26, "")&amp;IF(WBS!D26&lt;&gt;"", " "&amp;WBS!D26, "")</f>
        <v/>
      </c>
      <c r="C26">
        <f>WBS!L26</f>
        <v/>
      </c>
      <c r="D26">
        <f>WBS!M26</f>
        <v/>
      </c>
    </row>
    <row r="27">
      <c r="A27">
        <f>WBS!A27</f>
        <v/>
      </c>
      <c r="B27">
        <f>WBS!B27&amp;IF(WBS!C27&lt;&gt;"", " "&amp;WBS!C27, "")&amp;IF(WBS!D27&lt;&gt;"", " "&amp;WBS!D27, "")</f>
        <v/>
      </c>
      <c r="C27">
        <f>WBS!L27</f>
        <v/>
      </c>
      <c r="D27">
        <f>WBS!M27</f>
        <v/>
      </c>
    </row>
    <row r="28">
      <c r="A28">
        <f>WBS!A28</f>
        <v/>
      </c>
      <c r="B28">
        <f>WBS!B28&amp;IF(WBS!C28&lt;&gt;"", " "&amp;WBS!C28, "")&amp;IF(WBS!D28&lt;&gt;"", " "&amp;WBS!D28, "")</f>
        <v/>
      </c>
      <c r="C28">
        <f>WBS!L28</f>
        <v/>
      </c>
      <c r="D28">
        <f>WBS!M28</f>
        <v/>
      </c>
      <c r="G28" s="15" t="n"/>
      <c r="H28" s="15" t="n"/>
    </row>
    <row r="29">
      <c r="A29">
        <f>WBS!A29</f>
        <v/>
      </c>
      <c r="B29">
        <f>WBS!B29&amp;IF(WBS!C29&lt;&gt;"", " "&amp;WBS!C29, "")&amp;IF(WBS!D29&lt;&gt;"", " "&amp;WBS!D29, "")</f>
        <v/>
      </c>
      <c r="C29">
        <f>WBS!L29</f>
        <v/>
      </c>
      <c r="D29">
        <f>WBS!M29</f>
        <v/>
      </c>
      <c r="G29" s="14" t="n"/>
      <c r="H29" s="14" t="n"/>
    </row>
    <row r="30">
      <c r="A30">
        <f>WBS!A30</f>
        <v/>
      </c>
      <c r="B30">
        <f>WBS!B30&amp;IF(WBS!C30&lt;&gt;"", " "&amp;WBS!C30, "")&amp;IF(WBS!D30&lt;&gt;"", " "&amp;WBS!D30, "")</f>
        <v/>
      </c>
      <c r="C30">
        <f>WBS!L30</f>
        <v/>
      </c>
      <c r="D30">
        <f>WBS!M30</f>
        <v/>
      </c>
      <c r="H30" s="14" t="n"/>
    </row>
    <row r="31">
      <c r="A31">
        <f>WBS!A31</f>
        <v/>
      </c>
      <c r="B31">
        <f>WBS!B31&amp;IF(WBS!C31&lt;&gt;"", " "&amp;WBS!C31, "")&amp;IF(WBS!D31&lt;&gt;"", " "&amp;WBS!D31, "")</f>
        <v/>
      </c>
      <c r="C31">
        <f>WBS!L31</f>
        <v/>
      </c>
      <c r="D31">
        <f>WBS!M31</f>
        <v/>
      </c>
    </row>
    <row r="32">
      <c r="A32">
        <f>WBS!A32</f>
        <v/>
      </c>
      <c r="B32">
        <f>WBS!B32&amp;IF(WBS!C32&lt;&gt;"", " "&amp;WBS!C32, "")&amp;IF(WBS!D32&lt;&gt;"", " "&amp;WBS!D32, "")</f>
        <v/>
      </c>
      <c r="C32">
        <f>WBS!L32</f>
        <v/>
      </c>
      <c r="D32">
        <f>WBS!M32</f>
        <v/>
      </c>
      <c r="H32" s="15" t="n"/>
    </row>
    <row r="33">
      <c r="A33">
        <f>WBS!A33</f>
        <v/>
      </c>
      <c r="B33">
        <f>WBS!B33&amp;IF(WBS!C33&lt;&gt;"", " "&amp;WBS!C33, "")&amp;IF(WBS!D33&lt;&gt;"", " "&amp;WBS!D33, "")</f>
        <v/>
      </c>
      <c r="C33">
        <f>WBS!L33</f>
        <v/>
      </c>
      <c r="D33">
        <f>WBS!M33</f>
        <v/>
      </c>
      <c r="H33" s="14" t="n"/>
      <c r="I33" s="14" t="n"/>
    </row>
    <row r="34">
      <c r="A34">
        <f>WBS!A34</f>
        <v/>
      </c>
      <c r="B34">
        <f>WBS!B34&amp;IF(WBS!C34&lt;&gt;"", " "&amp;WBS!C34, "")&amp;IF(WBS!D34&lt;&gt;"", " "&amp;WBS!D34, "")</f>
        <v/>
      </c>
      <c r="C34">
        <f>WBS!L34</f>
        <v/>
      </c>
      <c r="D34">
        <f>WBS!M34</f>
        <v/>
      </c>
    </row>
    <row r="35">
      <c r="A35">
        <f>WBS!A35</f>
        <v/>
      </c>
      <c r="B35">
        <f>WBS!B35&amp;IF(WBS!C35&lt;&gt;"", " "&amp;WBS!C35, "")&amp;IF(WBS!D35&lt;&gt;"", " "&amp;WBS!D35, "")</f>
        <v/>
      </c>
      <c r="C35">
        <f>WBS!L35</f>
        <v/>
      </c>
      <c r="D35">
        <f>WBS!M35</f>
        <v/>
      </c>
    </row>
    <row r="36">
      <c r="A36">
        <f>WBS!A36</f>
        <v/>
      </c>
      <c r="B36">
        <f>WBS!B36&amp;IF(WBS!C36&lt;&gt;"", " "&amp;WBS!C36, "")&amp;IF(WBS!D36&lt;&gt;"", " "&amp;WBS!D36, "")</f>
        <v/>
      </c>
      <c r="C36">
        <f>WBS!L36</f>
        <v/>
      </c>
      <c r="D36">
        <f>WBS!M36</f>
        <v/>
      </c>
      <c r="I36" s="14" t="n"/>
    </row>
    <row r="37">
      <c r="A37">
        <f>WBS!A37</f>
        <v/>
      </c>
      <c r="B37">
        <f>WBS!B37&amp;IF(WBS!C37&lt;&gt;"", " "&amp;WBS!C37, "")&amp;IF(WBS!D37&lt;&gt;"", " "&amp;WBS!D37, "")</f>
        <v/>
      </c>
      <c r="C37">
        <f>WBS!L37</f>
        <v/>
      </c>
      <c r="D37">
        <f>WBS!M37</f>
        <v/>
      </c>
      <c r="I37" s="14" t="n"/>
      <c r="J37" s="14" t="n"/>
    </row>
    <row r="38">
      <c r="A38">
        <f>WBS!A38</f>
        <v/>
      </c>
      <c r="B38">
        <f>WBS!B38&amp;IF(WBS!C38&lt;&gt;"", " "&amp;WBS!C38, "")&amp;IF(WBS!D38&lt;&gt;"", " "&amp;WBS!D38, "")</f>
        <v/>
      </c>
      <c r="C38">
        <f>WBS!L38</f>
        <v/>
      </c>
      <c r="D38">
        <f>WBS!M38</f>
        <v/>
      </c>
      <c r="J38" s="14" t="n"/>
    </row>
    <row r="40">
      <c r="A40" s="16" t="inlineStr">
        <is>
          <t>Critical Path</t>
        </is>
      </c>
      <c r="B40" t="inlineStr">
        <is>
          <t>1.1.1 → 1.1.2 → 2.1.1 → 2.1.2 → 2.2.1 → 2.2.2 → 2.2.3 → 4.1.2 → 4.1.3 → 4.2.2 → 5.1.1 → 5.1.2 → 5.1.3</t>
        </is>
      </c>
    </row>
    <row r="41">
      <c r="A41" s="16" t="inlineStr">
        <is>
          <t>Total PERT Duration</t>
        </is>
      </c>
      <c r="B41">
        <f>WBS!L39</f>
        <v/>
      </c>
    </row>
    <row r="42">
      <c r="A42" s="16" t="inlineStr">
        <is>
          <t>CI 68%</t>
        </is>
      </c>
      <c r="B42">
        <f>WBS!L39&amp;" ± "&amp;WBS!M39</f>
        <v/>
      </c>
    </row>
    <row r="43">
      <c r="A43" s="16" t="inlineStr">
        <is>
          <t>CI 95%</t>
        </is>
      </c>
      <c r="B43">
        <f>WBS!L39&amp;" ± 2×"&amp;WBS!M39</f>
        <v/>
      </c>
    </row>
    <row r="44">
      <c r="A44" s="16" t="inlineStr">
        <is>
          <t>Start Date</t>
        </is>
      </c>
      <c r="B44" s="17" t="n">
        <v>46204</v>
      </c>
    </row>
    <row r="45">
      <c r="A45" s="16" t="inlineStr">
        <is>
          <t>End Date</t>
        </is>
      </c>
      <c r="B45" s="17" t="n">
        <v>46280</v>
      </c>
    </row>
    <row r="47">
      <c r="A47" s="18" t="inlineStr">
        <is>
          <t>Legend</t>
        </is>
      </c>
    </row>
    <row r="48">
      <c r="A48" s="14" t="inlineStr"/>
      <c r="B48" t="inlineStr">
        <is>
          <t>Critical Path</t>
        </is>
      </c>
    </row>
    <row r="49">
      <c r="A49" s="15" t="inlineStr"/>
      <c r="B49" t="inlineStr">
        <is>
          <t>Parallel Activity</t>
        </is>
      </c>
    </row>
    <row r="50">
      <c r="A50" s="19" t="inlineStr"/>
      <c r="B50" t="inlineStr">
        <is>
          <t>Continuous Activity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D1" s="20" t="inlineStr">
        <is>
          <t>Y</t>
        </is>
      </c>
      <c r="E1" s="20" t="inlineStr">
        <is>
          <t>Y</t>
        </is>
      </c>
      <c r="F1" s="20" t="inlineStr">
        <is>
          <t>Y</t>
        </is>
      </c>
      <c r="G1" s="20" t="inlineStr">
        <is>
          <t>Y</t>
        </is>
      </c>
    </row>
    <row r="2">
      <c r="A2" s="21" t="inlineStr">
        <is>
          <t>Phase</t>
        </is>
      </c>
      <c r="B2" s="21" t="inlineStr">
        <is>
          <t>Description</t>
        </is>
      </c>
      <c r="C2" s="21" t="inlineStr">
        <is>
          <t>Team</t>
        </is>
      </c>
      <c r="D2" s="22" t="inlineStr">
        <is>
          <t>Product Owner</t>
        </is>
      </c>
      <c r="E2" s="22" t="inlineStr">
        <is>
          <t>Mobile Dev</t>
        </is>
      </c>
      <c r="F2" s="22" t="inlineStr">
        <is>
          <t>Backend Dev</t>
        </is>
      </c>
      <c r="G2" s="22" t="inlineStr">
        <is>
          <t>QA Engineer</t>
        </is>
      </c>
      <c r="H2" s="22" t="inlineStr">
        <is>
          <t>TOTAL EFFORT</t>
        </is>
      </c>
      <c r="I2" s="22" t="inlineStr">
        <is>
          <t>BILLABLE EFFORT</t>
        </is>
      </c>
    </row>
    <row r="3">
      <c r="A3" s="8" t="inlineStr">
        <is>
          <t>Discovery</t>
        </is>
      </c>
      <c r="B3" s="8" t="inlineStr">
        <is>
          <t>Stakeholder alignment and technical feasibility</t>
        </is>
      </c>
      <c r="C3" s="8" t="inlineStr">
        <is>
          <t>Product</t>
        </is>
      </c>
      <c r="D3" s="23" t="n">
        <v>9</v>
      </c>
      <c r="H3" s="24">
        <f>SUM(D3:G3)</f>
        <v/>
      </c>
      <c r="I3" s="24">
        <f>SUMPRODUCT(D3:G3,(D$1:G$1="Y")*1)</f>
        <v/>
      </c>
    </row>
    <row r="4">
      <c r="A4" s="8" t="inlineStr">
        <is>
          <t>UX Design</t>
        </is>
      </c>
      <c r="B4" s="8" t="inlineStr">
        <is>
          <t>Wireframing and interactive prototype</t>
        </is>
      </c>
      <c r="C4" s="8" t="inlineStr">
        <is>
          <t>Product</t>
        </is>
      </c>
      <c r="D4" s="23" t="n">
        <v>8</v>
      </c>
      <c r="H4" s="24">
        <f>SUM(D4:G4)</f>
        <v/>
      </c>
      <c r="I4" s="24">
        <f>SUMPRODUCT(D4:G4,(D$1:G$1="Y")*1)</f>
        <v/>
      </c>
    </row>
    <row r="5">
      <c r="A5" s="8" t="inlineStr">
        <is>
          <t>Launch</t>
        </is>
      </c>
      <c r="B5" s="8" t="inlineStr">
        <is>
          <t>App store submission, UAT and go-live</t>
        </is>
      </c>
      <c r="C5" s="8" t="inlineStr">
        <is>
          <t>Product</t>
        </is>
      </c>
      <c r="D5" s="23" t="n">
        <v>7</v>
      </c>
      <c r="H5" s="24">
        <f>SUM(D5:G5)</f>
        <v/>
      </c>
      <c r="I5" s="24">
        <f>SUMPRODUCT(D5:G5,(D$1:G$1="Y")*1)</f>
        <v/>
      </c>
    </row>
    <row r="6">
      <c r="A6" s="5" t="inlineStr">
        <is>
          <t>Subtotal — Product</t>
        </is>
      </c>
      <c r="B6" s="5" t="inlineStr"/>
      <c r="C6" s="5" t="inlineStr">
        <is>
          <t>Product</t>
        </is>
      </c>
      <c r="D6" s="25">
        <f>SUM(D3,D4,D5)</f>
        <v/>
      </c>
      <c r="E6" s="25">
        <f>SUM(E3,E4,E5)</f>
        <v/>
      </c>
      <c r="F6" s="25">
        <f>SUM(F3,F4,F5)</f>
        <v/>
      </c>
      <c r="G6" s="25">
        <f>SUM(G3,G4,G5)</f>
        <v/>
      </c>
      <c r="H6" s="26">
        <f>SUM(D6:G6)</f>
        <v/>
      </c>
      <c r="I6" s="26">
        <f>SUMPRODUCT(D6:G6,(D$1:G$1="Y")*1)</f>
        <v/>
      </c>
    </row>
    <row r="7">
      <c r="A7" s="8" t="inlineStr">
        <is>
          <t>Discovery</t>
        </is>
      </c>
      <c r="B7" s="8" t="inlineStr">
        <is>
          <t>Stakeholder alignment and technical feasibility</t>
        </is>
      </c>
      <c r="C7" s="8" t="inlineStr">
        <is>
          <t>Engineering</t>
        </is>
      </c>
      <c r="E7" s="23" t="n">
        <v>2</v>
      </c>
      <c r="H7" s="24">
        <f>SUM(D7:G7)</f>
        <v/>
      </c>
      <c r="I7" s="24">
        <f>SUMPRODUCT(D7:G7,(D$1:G$1="Y")*1)</f>
        <v/>
      </c>
    </row>
    <row r="8">
      <c r="A8" s="8" t="inlineStr">
        <is>
          <t>Discovery</t>
        </is>
      </c>
      <c r="B8" s="8" t="inlineStr">
        <is>
          <t>Stakeholder alignment and technical feasibility</t>
        </is>
      </c>
      <c r="C8" s="8" t="inlineStr">
        <is>
          <t>Engineering</t>
        </is>
      </c>
      <c r="F8" s="23" t="n">
        <v>8</v>
      </c>
      <c r="H8" s="24">
        <f>SUM(D8:G8)</f>
        <v/>
      </c>
      <c r="I8" s="24">
        <f>SUMPRODUCT(D8:G8,(D$1:G$1="Y")*1)</f>
        <v/>
      </c>
    </row>
    <row r="9">
      <c r="A9" s="8" t="inlineStr">
        <is>
          <t>UX Design</t>
        </is>
      </c>
      <c r="B9" s="8" t="inlineStr">
        <is>
          <t>Wireframing and interactive prototype</t>
        </is>
      </c>
      <c r="C9" s="8" t="inlineStr">
        <is>
          <t>Engineering</t>
        </is>
      </c>
      <c r="E9" s="23" t="n">
        <v>11</v>
      </c>
      <c r="H9" s="24">
        <f>SUM(D9:G9)</f>
        <v/>
      </c>
      <c r="I9" s="24">
        <f>SUMPRODUCT(D9:G9,(D$1:G$1="Y")*1)</f>
        <v/>
      </c>
    </row>
    <row r="10">
      <c r="A10" s="8" t="inlineStr">
        <is>
          <t>UX Design</t>
        </is>
      </c>
      <c r="B10" s="8" t="inlineStr">
        <is>
          <t>Wireframing and interactive prototype</t>
        </is>
      </c>
      <c r="C10" s="8" t="inlineStr">
        <is>
          <t>Engineering</t>
        </is>
      </c>
      <c r="G10" s="23" t="n">
        <v>3</v>
      </c>
      <c r="H10" s="24">
        <f>SUM(D10:G10)</f>
        <v/>
      </c>
      <c r="I10" s="24">
        <f>SUMPRODUCT(D10:G10,(D$1:G$1="Y")*1)</f>
        <v/>
      </c>
    </row>
    <row r="11">
      <c r="A11" s="8" t="inlineStr">
        <is>
          <t>Backend Development</t>
        </is>
      </c>
      <c r="B11" s="8" t="inlineStr">
        <is>
          <t>REST API implementation and infrastructure</t>
        </is>
      </c>
      <c r="C11" s="8" t="inlineStr">
        <is>
          <t>Engineering</t>
        </is>
      </c>
      <c r="F11" s="23" t="n">
        <v>24</v>
      </c>
      <c r="H11" s="24">
        <f>SUM(D11:G11)</f>
        <v/>
      </c>
      <c r="I11" s="24">
        <f>SUMPRODUCT(D11:G11,(D$1:G$1="Y")*1)</f>
        <v/>
      </c>
    </row>
    <row r="12">
      <c r="A12" s="8" t="inlineStr">
        <is>
          <t>Backend Development</t>
        </is>
      </c>
      <c r="B12" s="8" t="inlineStr">
        <is>
          <t>REST API implementation and infrastructure</t>
        </is>
      </c>
      <c r="C12" s="8" t="inlineStr">
        <is>
          <t>Engineering</t>
        </is>
      </c>
      <c r="E12" s="23" t="n">
        <v>3</v>
      </c>
      <c r="H12" s="24">
        <f>SUM(D12:G12)</f>
        <v/>
      </c>
      <c r="I12" s="24">
        <f>SUMPRODUCT(D12:G12,(D$1:G$1="Y")*1)</f>
        <v/>
      </c>
    </row>
    <row r="13">
      <c r="A13" s="8" t="inlineStr">
        <is>
          <t>Backend Development</t>
        </is>
      </c>
      <c r="B13" s="8" t="inlineStr">
        <is>
          <t>REST API implementation and infrastructure</t>
        </is>
      </c>
      <c r="C13" s="8" t="inlineStr">
        <is>
          <t>Engineering</t>
        </is>
      </c>
      <c r="G13" s="23" t="n">
        <v>4</v>
      </c>
      <c r="H13" s="24">
        <f>SUM(D13:G13)</f>
        <v/>
      </c>
      <c r="I13" s="24">
        <f>SUMPRODUCT(D13:G13,(D$1:G$1="Y")*1)</f>
        <v/>
      </c>
    </row>
    <row r="14">
      <c r="A14" s="8" t="inlineStr">
        <is>
          <t>Mobile Development</t>
        </is>
      </c>
      <c r="B14" s="8" t="inlineStr">
        <is>
          <t>Cross-platform app implementation and testing</t>
        </is>
      </c>
      <c r="C14" s="8" t="inlineStr">
        <is>
          <t>Engineering</t>
        </is>
      </c>
      <c r="E14" s="23" t="n">
        <v>23</v>
      </c>
      <c r="H14" s="24">
        <f>SUM(D14:G14)</f>
        <v/>
      </c>
      <c r="I14" s="24">
        <f>SUMPRODUCT(D14:G14,(D$1:G$1="Y")*1)</f>
        <v/>
      </c>
    </row>
    <row r="15">
      <c r="A15" s="8" t="inlineStr">
        <is>
          <t>Mobile Development</t>
        </is>
      </c>
      <c r="B15" s="8" t="inlineStr">
        <is>
          <t>Cross-platform app implementation and testing</t>
        </is>
      </c>
      <c r="C15" s="8" t="inlineStr">
        <is>
          <t>Engineering</t>
        </is>
      </c>
      <c r="F15" s="23" t="n">
        <v>5</v>
      </c>
      <c r="H15" s="24">
        <f>SUM(D15:G15)</f>
        <v/>
      </c>
      <c r="I15" s="24">
        <f>SUMPRODUCT(D15:G15,(D$1:G$1="Y")*1)</f>
        <v/>
      </c>
    </row>
    <row r="16">
      <c r="A16" s="8" t="inlineStr">
        <is>
          <t>Mobile Development</t>
        </is>
      </c>
      <c r="B16" s="8" t="inlineStr">
        <is>
          <t>Cross-platform app implementation and testing</t>
        </is>
      </c>
      <c r="C16" s="8" t="inlineStr">
        <is>
          <t>Engineering</t>
        </is>
      </c>
      <c r="G16" s="23" t="n">
        <v>5</v>
      </c>
      <c r="H16" s="24">
        <f>SUM(D16:G16)</f>
        <v/>
      </c>
      <c r="I16" s="24">
        <f>SUMPRODUCT(D16:G16,(D$1:G$1="Y")*1)</f>
        <v/>
      </c>
    </row>
    <row r="17">
      <c r="A17" s="8" t="inlineStr">
        <is>
          <t>Launch</t>
        </is>
      </c>
      <c r="B17" s="8" t="inlineStr">
        <is>
          <t>App store submission, UAT and go-live</t>
        </is>
      </c>
      <c r="C17" s="8" t="inlineStr">
        <is>
          <t>Engineering</t>
        </is>
      </c>
      <c r="E17" s="23" t="n">
        <v>6</v>
      </c>
      <c r="H17" s="24">
        <f>SUM(D17:G17)</f>
        <v/>
      </c>
      <c r="I17" s="24">
        <f>SUMPRODUCT(D17:G17,(D$1:G$1="Y")*1)</f>
        <v/>
      </c>
    </row>
    <row r="18">
      <c r="A18" s="8" t="inlineStr">
        <is>
          <t>Launch</t>
        </is>
      </c>
      <c r="B18" s="8" t="inlineStr">
        <is>
          <t>App store submission, UAT and go-live</t>
        </is>
      </c>
      <c r="C18" s="8" t="inlineStr">
        <is>
          <t>Engineering</t>
        </is>
      </c>
      <c r="F18" s="23" t="n">
        <v>3</v>
      </c>
      <c r="H18" s="24">
        <f>SUM(D18:G18)</f>
        <v/>
      </c>
      <c r="I18" s="24">
        <f>SUMPRODUCT(D18:G18,(D$1:G$1="Y")*1)</f>
        <v/>
      </c>
    </row>
    <row r="19">
      <c r="A19" s="8" t="inlineStr">
        <is>
          <t>Launch</t>
        </is>
      </c>
      <c r="B19" s="8" t="inlineStr">
        <is>
          <t>App store submission, UAT and go-live</t>
        </is>
      </c>
      <c r="C19" s="8" t="inlineStr">
        <is>
          <t>Engineering</t>
        </is>
      </c>
      <c r="G19" s="23" t="n">
        <v>4</v>
      </c>
      <c r="H19" s="24">
        <f>SUM(D19:G19)</f>
        <v/>
      </c>
      <c r="I19" s="24">
        <f>SUMPRODUCT(D19:G19,(D$1:G$1="Y")*1)</f>
        <v/>
      </c>
    </row>
    <row r="20">
      <c r="A20" s="5" t="inlineStr">
        <is>
          <t>Subtotal — Engineering</t>
        </is>
      </c>
      <c r="B20" s="5" t="inlineStr"/>
      <c r="C20" s="5" t="inlineStr">
        <is>
          <t>Engineering</t>
        </is>
      </c>
      <c r="D20" s="25">
        <f>SUM(D7,D8,D9,D10,D11,D12,D13,D14,D15,D16,D17,D18,D19)</f>
        <v/>
      </c>
      <c r="E20" s="25">
        <f>SUM(E7,E8,E9,E10,E11,E12,E13,E14,E15,E16,E17,E18,E19)</f>
        <v/>
      </c>
      <c r="F20" s="25">
        <f>SUM(F7,F8,F9,F10,F11,F12,F13,F14,F15,F16,F17,F18,F19)</f>
        <v/>
      </c>
      <c r="G20" s="25">
        <f>SUM(G7,G8,G9,G10,G11,G12,G13,G14,G15,G16,G17,G18,G19)</f>
        <v/>
      </c>
      <c r="H20" s="26">
        <f>SUM(D20:G20)</f>
        <v/>
      </c>
      <c r="I20" s="26">
        <f>SUMPRODUCT(D20:G20,(D$1:G$1="Y")*1)</f>
        <v/>
      </c>
    </row>
    <row r="21">
      <c r="A21" s="11" t="inlineStr">
        <is>
          <t>TOTAL</t>
        </is>
      </c>
      <c r="B21" s="11" t="inlineStr"/>
      <c r="C21" s="11" t="inlineStr"/>
      <c r="H21" s="27">
        <f>SUM(H6,H20)</f>
        <v/>
      </c>
      <c r="I21" s="27">
        <f>SUM(I6,I20)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" customWidth="1" min="1" max="1"/>
    <col width="35" customWidth="1" min="2" max="2"/>
    <col width="18" customWidth="1" min="3" max="3"/>
    <col width="20" customWidth="1" min="4" max="4"/>
    <col width="14" customWidth="1" min="5" max="5"/>
    <col width="12" customWidth="1" min="6" max="6"/>
    <col width="12" customWidth="1" min="7" max="7"/>
    <col width="12" customWidth="1" min="8" max="8"/>
    <col width="14" customWidth="1" min="9" max="9"/>
    <col width="35" customWidth="1" min="10" max="10"/>
    <col width="10" customWidth="1" min="11" max="11"/>
    <col width="16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Risk Description</t>
        </is>
      </c>
      <c r="C1" s="1" t="inlineStr">
        <is>
          <t>Category</t>
        </is>
      </c>
      <c r="D1" s="1" t="inlineStr">
        <is>
          <t>Affected Phases</t>
        </is>
      </c>
      <c r="E1" s="1" t="inlineStr">
        <is>
          <t>Probability (1-5)</t>
        </is>
      </c>
      <c r="F1" s="1" t="inlineStr">
        <is>
          <t>Impact (1-5)</t>
        </is>
      </c>
      <c r="G1" s="1" t="inlineStr">
        <is>
          <t>Risk Score</t>
        </is>
      </c>
      <c r="H1" s="1" t="inlineStr">
        <is>
          <t>Priority</t>
        </is>
      </c>
      <c r="I1" s="1" t="inlineStr">
        <is>
          <t>Strategy</t>
        </is>
      </c>
      <c r="J1" s="1" t="inlineStr">
        <is>
          <t>Mitigation Action</t>
        </is>
      </c>
      <c r="K1" s="1" t="inlineStr">
        <is>
          <t>Owner</t>
        </is>
      </c>
      <c r="L1" s="1" t="inlineStr">
        <is>
          <t>Contingency (pd)</t>
        </is>
      </c>
      <c r="M1" s="1" t="inlineStr">
        <is>
          <t>Contingency Cost</t>
        </is>
      </c>
    </row>
    <row r="2">
      <c r="A2" t="inlineStr">
        <is>
          <t>R1</t>
        </is>
      </c>
      <c r="B2" t="inlineStr">
        <is>
          <t>App store approval delays</t>
        </is>
      </c>
      <c r="C2" t="inlineStr">
        <is>
          <t>External</t>
        </is>
      </c>
      <c r="D2" t="inlineStr">
        <is>
          <t>5</t>
        </is>
      </c>
      <c r="E2" t="n">
        <v>3</v>
      </c>
      <c r="F2" t="n">
        <v>3</v>
      </c>
      <c r="G2">
        <f>E2*F2</f>
        <v/>
      </c>
      <c r="H2">
        <f>IF(G2&gt;=15,"CRITICAL",IF(G2&gt;=10,"HIGH",IF(G2&gt;=5,"MEDIUM","LOW")))</f>
        <v/>
      </c>
      <c r="I2" t="inlineStr">
        <is>
          <t>Mitigate</t>
        </is>
      </c>
      <c r="J2" t="inlineStr">
        <is>
          <t>Submit early, prepare review guidelines, use TestFlight/internal track first</t>
        </is>
      </c>
      <c r="K2" t="inlineStr">
        <is>
          <t>MOB</t>
        </is>
      </c>
      <c r="L2" t="n">
        <v>3</v>
      </c>
      <c r="M2">
        <f>L2*550</f>
        <v/>
      </c>
    </row>
    <row r="3">
      <c r="A3" s="28" t="inlineStr">
        <is>
          <t>R2</t>
        </is>
      </c>
      <c r="B3" s="28" t="inlineStr">
        <is>
          <t>Offline sync complexity underestimated</t>
        </is>
      </c>
      <c r="C3" s="28" t="inlineStr">
        <is>
          <t>Technical</t>
        </is>
      </c>
      <c r="D3" s="28" t="inlineStr">
        <is>
          <t>3, 4</t>
        </is>
      </c>
      <c r="E3" s="28" t="n">
        <v>4</v>
      </c>
      <c r="F3" s="28" t="n">
        <v>5</v>
      </c>
      <c r="G3" s="28">
        <f>E3*F3</f>
        <v/>
      </c>
      <c r="H3" s="28">
        <f>IF(G3&gt;=15,"CRITICAL",IF(G3&gt;=10,"HIGH",IF(G3&gt;=5,"MEDIUM","LOW")))</f>
        <v/>
      </c>
      <c r="I3" s="28" t="inlineStr">
        <is>
          <t>Mitigate</t>
        </is>
      </c>
      <c r="J3" s="28" t="inlineStr">
        <is>
          <t>Proof-of-concept spike in Discovery; adopt proven sync library</t>
        </is>
      </c>
      <c r="K3" s="28" t="inlineStr">
        <is>
          <t>BED</t>
        </is>
      </c>
      <c r="L3" s="28" t="n">
        <v>8</v>
      </c>
      <c r="M3" s="28">
        <f>L3*550</f>
        <v/>
      </c>
    </row>
    <row r="4">
      <c r="A4" t="inlineStr">
        <is>
          <t>R3</t>
        </is>
      </c>
      <c r="B4" t="inlineStr">
        <is>
          <t>Key mobile developer unavailability</t>
        </is>
      </c>
      <c r="C4" t="inlineStr">
        <is>
          <t>Organizational</t>
        </is>
      </c>
      <c r="D4" t="inlineStr">
        <is>
          <t>4</t>
        </is>
      </c>
      <c r="E4" t="n">
        <v>2</v>
      </c>
      <c r="F4" t="n">
        <v>5</v>
      </c>
      <c r="G4">
        <f>E4*F4</f>
        <v/>
      </c>
      <c r="H4">
        <f>IF(G4&gt;=15,"CRITICAL",IF(G4&gt;=10,"HIGH",IF(G4&gt;=5,"MEDIUM","LOW")))</f>
        <v/>
      </c>
      <c r="I4" t="inlineStr">
        <is>
          <t>Mitigate</t>
        </is>
      </c>
      <c r="J4" t="inlineStr">
        <is>
          <t>Cross-train backend developer on mobile framework</t>
        </is>
      </c>
      <c r="K4" t="inlineStr">
        <is>
          <t>PO</t>
        </is>
      </c>
      <c r="L4" t="n">
        <v>10</v>
      </c>
      <c r="M4">
        <f>L4*550</f>
        <v/>
      </c>
    </row>
    <row r="5">
      <c r="A5" t="inlineStr">
        <is>
          <t>R4</t>
        </is>
      </c>
      <c r="B5" t="inlineStr">
        <is>
          <t>Third-party push notification service outage</t>
        </is>
      </c>
      <c r="C5" t="inlineStr">
        <is>
          <t>External</t>
        </is>
      </c>
      <c r="D5" t="inlineStr">
        <is>
          <t>3</t>
        </is>
      </c>
      <c r="E5" t="n">
        <v>2</v>
      </c>
      <c r="F5" t="n">
        <v>3</v>
      </c>
      <c r="G5">
        <f>E5*F5</f>
        <v/>
      </c>
      <c r="H5">
        <f>IF(G5&gt;=15,"CRITICAL",IF(G5&gt;=10,"HIGH",IF(G5&gt;=5,"MEDIUM","LOW")))</f>
        <v/>
      </c>
      <c r="I5" t="inlineStr">
        <is>
          <t>Accept</t>
        </is>
      </c>
      <c r="J5" t="inlineStr">
        <is>
          <t>Monitor SLA; have fallback polling mechanism ready</t>
        </is>
      </c>
      <c r="K5" t="inlineStr">
        <is>
          <t>BED</t>
        </is>
      </c>
      <c r="L5" t="n">
        <v>2</v>
      </c>
      <c r="M5">
        <f>L5*550</f>
        <v/>
      </c>
    </row>
    <row r="6">
      <c r="A6" s="28" t="inlineStr">
        <is>
          <t>R5</t>
        </is>
      </c>
      <c r="B6" s="28" t="inlineStr">
        <is>
          <t>Scope creep from stakeholder change requests</t>
        </is>
      </c>
      <c r="C6" s="28" t="inlineStr">
        <is>
          <t>Organizational</t>
        </is>
      </c>
      <c r="D6" s="28" t="inlineStr">
        <is>
          <t>1, 2, 5</t>
        </is>
      </c>
      <c r="E6" s="28" t="n">
        <v>4</v>
      </c>
      <c r="F6" s="28" t="n">
        <v>4</v>
      </c>
      <c r="G6" s="28">
        <f>E6*F6</f>
        <v/>
      </c>
      <c r="H6" s="28">
        <f>IF(G6&gt;=15,"CRITICAL",IF(G6&gt;=10,"HIGH",IF(G6&gt;=5,"MEDIUM","LOW")))</f>
        <v/>
      </c>
      <c r="I6" s="28" t="inlineStr">
        <is>
          <t>Mitigate</t>
        </is>
      </c>
      <c r="J6" s="28" t="inlineStr">
        <is>
          <t>Formal change control process; freeze scope after Phase 2</t>
        </is>
      </c>
      <c r="K6" s="28" t="inlineStr">
        <is>
          <t>PO</t>
        </is>
      </c>
      <c r="L6" s="28" t="n">
        <v>6</v>
      </c>
      <c r="M6" s="28">
        <f>L6*550</f>
        <v/>
      </c>
    </row>
    <row r="7">
      <c r="A7" t="inlineStr">
        <is>
          <t>R6</t>
        </is>
      </c>
      <c r="B7" t="inlineStr">
        <is>
          <t>iOS/Android compatibility fragmentation issues</t>
        </is>
      </c>
      <c r="C7" t="inlineStr">
        <is>
          <t>Technical</t>
        </is>
      </c>
      <c r="D7" t="inlineStr">
        <is>
          <t>4</t>
        </is>
      </c>
      <c r="E7" t="n">
        <v>3</v>
      </c>
      <c r="F7" t="n">
        <v>3</v>
      </c>
      <c r="G7">
        <f>E7*F7</f>
        <v/>
      </c>
      <c r="H7">
        <f>IF(G7&gt;=15,"CRITICAL",IF(G7&gt;=10,"HIGH",IF(G7&gt;=5,"MEDIUM","LOW")))</f>
        <v/>
      </c>
      <c r="I7" t="inlineStr">
        <is>
          <t>Mitigate</t>
        </is>
      </c>
      <c r="J7" t="inlineStr">
        <is>
          <t>Test on device farm from Phase 4 start; target OS versions ≥ iOS 15 / Android 11</t>
        </is>
      </c>
      <c r="K7" t="inlineStr">
        <is>
          <t>MOB</t>
        </is>
      </c>
      <c r="L7" t="n">
        <v>4</v>
      </c>
      <c r="M7">
        <f>L7*550</f>
        <v/>
      </c>
    </row>
    <row r="9">
      <c r="A9" s="11" t="inlineStr">
        <is>
          <t>TOTAL</t>
        </is>
      </c>
      <c r="L9" s="11">
        <f>SUM(L2:L7)</f>
        <v/>
      </c>
      <c r="M9" s="11">
        <f>SUM(M2:M7)</f>
        <v/>
      </c>
    </row>
    <row r="10">
      <c r="A10" t="inlineStr">
        <is>
          <t>Management Reserve</t>
        </is>
      </c>
      <c r="L10">
        <f>L9*0.1</f>
        <v/>
      </c>
      <c r="M10">
        <f>M9*0.1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1" t="inlineStr">
        <is>
          <t>Phase</t>
        </is>
      </c>
      <c r="B1" s="1" t="inlineStr">
        <is>
          <t>Description</t>
        </is>
      </c>
      <c r="C1" s="1" t="inlineStr">
        <is>
          <t>Best Effort (pd)</t>
        </is>
      </c>
      <c r="D1" s="1" t="inlineStr">
        <is>
          <t>Likely Effort (pd)</t>
        </is>
      </c>
      <c r="E1" s="1" t="inlineStr">
        <is>
          <t>Worst Effort (pd)</t>
        </is>
      </c>
      <c r="F1" s="1" t="inlineStr">
        <is>
          <t>PERT Effort (pd)</t>
        </is>
      </c>
      <c r="G1" s="1" t="inlineStr">
        <is>
          <t>Best Duration (d)</t>
        </is>
      </c>
      <c r="H1" s="1" t="inlineStr">
        <is>
          <t>Likely Duration (d)</t>
        </is>
      </c>
      <c r="I1" s="1" t="inlineStr">
        <is>
          <t>Worst Duration (d)</t>
        </is>
      </c>
      <c r="J1" s="1" t="inlineStr">
        <is>
          <t>PERT Duration (d)</t>
        </is>
      </c>
      <c r="K1" s="1" t="inlineStr">
        <is>
          <t>σ Duration</t>
        </is>
      </c>
    </row>
    <row r="2">
      <c r="A2" s="2">
        <f>WBS!B2</f>
        <v/>
      </c>
      <c r="B2" s="2" t="inlineStr">
        <is>
          <t>Stakeholder alignment, requirements elicitation and technical feasibility</t>
        </is>
      </c>
      <c r="C2" s="4">
        <f>WBS!E2</f>
        <v/>
      </c>
      <c r="D2" s="4">
        <f>WBS!F2</f>
        <v/>
      </c>
      <c r="E2" s="4">
        <f>WBS!G2</f>
        <v/>
      </c>
      <c r="F2" s="4">
        <f>WBS!H2</f>
        <v/>
      </c>
      <c r="G2" s="4">
        <f>WBS!I2</f>
        <v/>
      </c>
      <c r="H2" s="4">
        <f>WBS!J2</f>
        <v/>
      </c>
      <c r="I2" s="4">
        <f>WBS!K2</f>
        <v/>
      </c>
      <c r="J2" s="4">
        <f>WBS!L2</f>
        <v/>
      </c>
      <c r="K2" s="4">
        <f>WBS!M2</f>
        <v/>
      </c>
    </row>
    <row r="3">
      <c r="A3" s="2">
        <f>WBS!B9</f>
        <v/>
      </c>
      <c r="B3" s="2" t="inlineStr">
        <is>
          <t>User experience design, wireframing and interactive prototype</t>
        </is>
      </c>
      <c r="C3" s="4">
        <f>WBS!E9</f>
        <v/>
      </c>
      <c r="D3" s="4">
        <f>WBS!F9</f>
        <v/>
      </c>
      <c r="E3" s="4">
        <f>WBS!G9</f>
        <v/>
      </c>
      <c r="F3" s="4">
        <f>WBS!H9</f>
        <v/>
      </c>
      <c r="G3" s="4">
        <f>WBS!I9</f>
        <v/>
      </c>
      <c r="H3" s="4">
        <f>WBS!J9</f>
        <v/>
      </c>
      <c r="I3" s="4">
        <f>WBS!K9</f>
        <v/>
      </c>
      <c r="J3" s="4">
        <f>WBS!L9</f>
        <v/>
      </c>
      <c r="K3" s="4">
        <f>WBS!M9</f>
        <v/>
      </c>
    </row>
    <row r="4">
      <c r="A4" s="2">
        <f>WBS!B17</f>
        <v/>
      </c>
      <c r="B4" s="2" t="inlineStr">
        <is>
          <t>REST API implementation, infrastructure setup and backend testing</t>
        </is>
      </c>
      <c r="C4" s="4">
        <f>WBS!E17</f>
        <v/>
      </c>
      <c r="D4" s="4">
        <f>WBS!F17</f>
        <v/>
      </c>
      <c r="E4" s="4">
        <f>WBS!G17</f>
        <v/>
      </c>
      <c r="F4" s="4">
        <f>WBS!H17</f>
        <v/>
      </c>
      <c r="G4" s="4">
        <f>WBS!I17</f>
        <v/>
      </c>
      <c r="H4" s="4">
        <f>WBS!J17</f>
        <v/>
      </c>
      <c r="I4" s="4">
        <f>WBS!K17</f>
        <v/>
      </c>
      <c r="J4" s="4">
        <f>WBS!L17</f>
        <v/>
      </c>
      <c r="K4" s="4">
        <f>WBS!M17</f>
        <v/>
      </c>
    </row>
    <row r="5">
      <c r="A5" s="2">
        <f>WBS!B26</f>
        <v/>
      </c>
      <c r="B5" s="2" t="inlineStr">
        <is>
          <t>Native/cross-platform mobile app implementation and E2E testing</t>
        </is>
      </c>
      <c r="C5" s="4">
        <f>WBS!E26</f>
        <v/>
      </c>
      <c r="D5" s="4">
        <f>WBS!F26</f>
        <v/>
      </c>
      <c r="E5" s="4">
        <f>WBS!G26</f>
        <v/>
      </c>
      <c r="F5" s="4">
        <f>WBS!H26</f>
        <v/>
      </c>
      <c r="G5" s="4">
        <f>WBS!I26</f>
        <v/>
      </c>
      <c r="H5" s="4">
        <f>WBS!J26</f>
        <v/>
      </c>
      <c r="I5" s="4">
        <f>WBS!K26</f>
        <v/>
      </c>
      <c r="J5" s="4">
        <f>WBS!L26</f>
        <v/>
      </c>
      <c r="K5" s="4">
        <f>WBS!M26</f>
        <v/>
      </c>
    </row>
    <row r="6">
      <c r="A6" s="2">
        <f>WBS!B34</f>
        <v/>
      </c>
      <c r="B6" s="2" t="inlineStr">
        <is>
          <t>App store submission, UAT with pilot users and go-live</t>
        </is>
      </c>
      <c r="C6" s="4">
        <f>WBS!E34</f>
        <v/>
      </c>
      <c r="D6" s="4">
        <f>WBS!F34</f>
        <v/>
      </c>
      <c r="E6" s="4">
        <f>WBS!G34</f>
        <v/>
      </c>
      <c r="F6" s="4">
        <f>WBS!H34</f>
        <v/>
      </c>
      <c r="G6" s="4">
        <f>WBS!I34</f>
        <v/>
      </c>
      <c r="H6" s="4">
        <f>WBS!J34</f>
        <v/>
      </c>
      <c r="I6" s="4">
        <f>WBS!K34</f>
        <v/>
      </c>
      <c r="J6" s="4">
        <f>WBS!L34</f>
        <v/>
      </c>
      <c r="K6" s="4">
        <f>WBS!M34</f>
        <v/>
      </c>
    </row>
    <row r="7">
      <c r="A7" s="11" t="inlineStr">
        <is>
          <t>TOTAL</t>
        </is>
      </c>
      <c r="B7" s="11" t="n"/>
      <c r="C7" s="13">
        <f>SUM(C2:C6)</f>
        <v/>
      </c>
      <c r="D7" s="13">
        <f>SUM(D2:D6)</f>
        <v/>
      </c>
      <c r="E7" s="13">
        <f>SUM(E2:E6)</f>
        <v/>
      </c>
      <c r="F7" s="13">
        <f>SUM(F2:F6)</f>
        <v/>
      </c>
      <c r="G7" s="13">
        <f>SUM(G2:G6)</f>
        <v/>
      </c>
      <c r="H7" s="13">
        <f>SUM(H2:H6)</f>
        <v/>
      </c>
      <c r="I7" s="13">
        <f>SUM(I2:I6)</f>
        <v/>
      </c>
      <c r="J7" s="13">
        <f>SUM(J2:J6)</f>
        <v/>
      </c>
      <c r="K7" s="13">
        <f>SUM(K2:K6)</f>
        <v/>
      </c>
    </row>
    <row r="9">
      <c r="A9" t="inlineStr">
        <is>
          <t>Total PERT Effort (pd)</t>
        </is>
      </c>
      <c r="B9">
        <f>F7</f>
        <v/>
      </c>
    </row>
    <row r="10">
      <c r="A10" t="inlineStr">
        <is>
          <t>Total Billable Effort (pd)</t>
        </is>
      </c>
      <c r="B10">
        <f>WBS!S39</f>
        <v/>
      </c>
    </row>
    <row r="11">
      <c r="A11" t="inlineStr">
        <is>
          <t>Billable Ratio</t>
        </is>
      </c>
      <c r="B11">
        <f>B10/B9</f>
        <v/>
      </c>
    </row>
    <row r="12">
      <c r="A12" t="inlineStr">
        <is>
          <t>σ Total Duration</t>
        </is>
      </c>
      <c r="B12">
        <f>SQRT(SUMPRODUCT(K2:K6,K2:K6))</f>
        <v/>
      </c>
    </row>
    <row r="13">
      <c r="A13" t="inlineStr">
        <is>
          <t>CI 68% Lower</t>
        </is>
      </c>
      <c r="B13">
        <f>J7-B12</f>
        <v/>
      </c>
    </row>
    <row r="14">
      <c r="A14" t="inlineStr">
        <is>
          <t>CI 68% Upper</t>
        </is>
      </c>
      <c r="B14">
        <f>J7+B12</f>
        <v/>
      </c>
    </row>
    <row r="15">
      <c r="A15" t="inlineStr">
        <is>
          <t>CI 95% Lower</t>
        </is>
      </c>
      <c r="B15">
        <f>J7-2*B12</f>
        <v/>
      </c>
    </row>
    <row r="16">
      <c r="A16" t="inlineStr">
        <is>
          <t>CI 95% Upper</t>
        </is>
      </c>
      <c r="B16">
        <f>J7+2*B12</f>
        <v/>
      </c>
    </row>
    <row r="17">
      <c r="A17" t="inlineStr">
        <is>
          <t>Total Contingency</t>
        </is>
      </c>
      <c r="B17">
        <f>Risks!L9</f>
        <v/>
      </c>
    </row>
    <row r="18">
      <c r="A18" t="inlineStr">
        <is>
          <t>Management Reserve</t>
        </is>
      </c>
      <c r="B18">
        <f>Risks!L10</f>
        <v/>
      </c>
    </row>
    <row r="19">
      <c r="A19" t="inlineStr">
        <is>
          <t>Adjusted PERT Effort (pd)</t>
        </is>
      </c>
      <c r="B19">
        <f>B9+B17+B18</f>
        <v/>
      </c>
    </row>
    <row r="21">
      <c r="A21" s="16" t="inlineStr">
        <is>
          <t>Effort by Team</t>
        </is>
      </c>
    </row>
    <row r="22">
      <c r="A22" t="inlineStr">
        <is>
          <t>Product</t>
        </is>
      </c>
      <c r="B22">
        <f>Resources!H6</f>
        <v/>
      </c>
    </row>
    <row r="23">
      <c r="A23" t="inlineStr">
        <is>
          <t>Engineering</t>
        </is>
      </c>
      <c r="B23">
        <f>Resources!H20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2026-03-19T17:09:28Z</dcterms:created>
  <dcterms:modified xmlns:dcterms="http://purl.org/dc/terms/" xmlns:xsi="http://www.w3.org/2001/XMLSchema-instance" xsi:type="dcterms:W3CDTF">2026-03-19T17:09:28Z</dcterms:modified>
</cp:coreProperties>
</file>