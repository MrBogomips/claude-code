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Resource Plan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color rgb="FFFFFFFF"/>
    </font>
    <font>
      <b val="1"/>
    </font>
    <font/>
    <font>
      <i val="1"/>
    </font>
    <font>
      <b val="1"/>
      <color rgb="FF9C0006"/>
    </font>
    <font>
      <b val="1"/>
      <color rgb="FFFF0000"/>
    </font>
  </fonts>
  <fills count="8">
    <fill>
      <patternFill/>
    </fill>
    <fill>
      <patternFill patternType="gray125"/>
    </fill>
    <fill>
      <patternFill patternType="solid">
        <fgColor rgb="FF1B4FA5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2F2F2F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top style="double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4" fontId="2" fillId="2" borderId="0" applyAlignment="1" pivotButton="0" quotePrefix="0" xfId="0">
      <alignment wrapText="1"/>
    </xf>
    <xf numFmtId="4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4" fontId="3" fillId="4" borderId="0" applyAlignment="1" pivotButton="0" quotePrefix="0" xfId="0">
      <alignment wrapText="1"/>
    </xf>
    <xf numFmtId="4" fontId="3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4" fontId="4" fillId="0" borderId="0" applyAlignment="1" pivotButton="0" quotePrefix="0" xfId="0">
      <alignment wrapText="1"/>
    </xf>
    <xf numFmtId="4" fontId="4" fillId="3" borderId="0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4" fontId="2" fillId="5" borderId="1" applyAlignment="1" pivotButton="0" quotePrefix="0" xfId="0">
      <alignment wrapText="1"/>
    </xf>
    <xf numFmtId="4" fontId="2" fillId="3" borderId="1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4" fontId="3" fillId="0" borderId="0" pivotButton="0" quotePrefix="0" xfId="0"/>
    <xf numFmtId="4" fontId="0" fillId="6" borderId="0" pivotButton="0" quotePrefix="0" xfId="0"/>
    <xf numFmtId="4" fontId="0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1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25" customWidth="1" min="14" max="14"/>
    <col width="20" customWidth="1" min="15" max="15"/>
    <col width="20" customWidth="1" min="16" max="16"/>
    <col width="25" customWidth="1" min="17" max="17"/>
    <col width="10" customWidth="1" min="18" max="18"/>
    <col width="18" customWidth="1" min="19" max="19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Work Package</t>
        </is>
      </c>
      <c r="D1" s="1" t="inlineStr">
        <is>
          <t>Activity</t>
        </is>
      </c>
      <c r="E1" s="1" t="inlineStr">
        <is>
          <t>Best Effort (pd)</t>
        </is>
      </c>
      <c r="F1" s="1" t="inlineStr">
        <is>
          <t>Likely Effort (pd)</t>
        </is>
      </c>
      <c r="G1" s="1" t="inlineStr">
        <is>
          <t>Worst Effort (pd)</t>
        </is>
      </c>
      <c r="H1" s="1" t="inlineStr">
        <is>
          <t>PERT Effort (pd)</t>
        </is>
      </c>
      <c r="I1" s="1" t="inlineStr">
        <is>
          <t>Best Duration (d)</t>
        </is>
      </c>
      <c r="J1" s="1" t="inlineStr">
        <is>
          <t>Likely Duration (d)</t>
        </is>
      </c>
      <c r="K1" s="1" t="inlineStr">
        <is>
          <t>Worst Duration (d)</t>
        </is>
      </c>
      <c r="L1" s="1" t="inlineStr">
        <is>
          <t>PERT Duration (d)</t>
        </is>
      </c>
      <c r="M1" s="1" t="inlineStr">
        <is>
          <t>σ Duration</t>
        </is>
      </c>
      <c r="N1" s="1" t="inlineStr">
        <is>
          <t>Resources</t>
        </is>
      </c>
      <c r="O1" s="1" t="inlineStr">
        <is>
          <t>Dependencies</t>
        </is>
      </c>
      <c r="P1" s="1" t="inlineStr">
        <is>
          <t>Risks</t>
        </is>
      </c>
      <c r="Q1" s="1" t="inlineStr">
        <is>
          <t>Notes</t>
        </is>
      </c>
      <c r="R1" s="1" t="inlineStr">
        <is>
          <t>Billable</t>
        </is>
      </c>
      <c r="S1" s="1" t="inlineStr">
        <is>
          <t>Billable PERT Effort</t>
        </is>
      </c>
    </row>
    <row r="2">
      <c r="A2" s="2" t="inlineStr">
        <is>
          <t>1</t>
        </is>
      </c>
      <c r="B2" s="2" t="inlineStr">
        <is>
          <t>Discovery &amp; Project Setup</t>
        </is>
      </c>
      <c r="C2" s="2" t="n"/>
      <c r="D2" s="2" t="n"/>
      <c r="E2" s="3">
        <f>SUM(E4,E5,E6,E8,E9)</f>
        <v/>
      </c>
      <c r="F2" s="3">
        <f>SUM(F4,F5,F6,F8,F9)</f>
        <v/>
      </c>
      <c r="G2" s="3">
        <f>SUM(G4,G5,G6,G8,G9)</f>
        <v/>
      </c>
      <c r="H2" s="4">
        <f>(E2+4*F2+G2)/6</f>
        <v/>
      </c>
      <c r="I2" s="3">
        <f>SUM(I4,I5,I6,I8,I9)</f>
        <v/>
      </c>
      <c r="J2" s="3">
        <f>SUM(J4,J5,J6,J8,J9)</f>
        <v/>
      </c>
      <c r="K2" s="3">
        <f>SUM(K4,K5,K6,K8,K9)</f>
        <v/>
      </c>
      <c r="L2" s="4">
        <f>(I2+4*J2+K2)/6</f>
        <v/>
      </c>
      <c r="M2" s="4">
        <f>(K2-I2)/6</f>
        <v/>
      </c>
      <c r="N2" s="2" t="n"/>
      <c r="O2" s="2" t="n"/>
      <c r="P2" s="2" t="n"/>
      <c r="Q2" s="2" t="n"/>
      <c r="R2" s="2" t="n"/>
      <c r="S2" s="4">
        <f>SUM(S4,S5,S6,S8,S9)</f>
        <v/>
      </c>
    </row>
    <row r="3">
      <c r="A3" s="5" t="inlineStr">
        <is>
          <t>1.1</t>
        </is>
      </c>
      <c r="B3" s="5" t="n"/>
      <c r="C3" s="5" t="inlineStr">
        <is>
          <t>Project Initiation</t>
        </is>
      </c>
      <c r="D3" s="5" t="n"/>
      <c r="E3" s="6">
        <f>SUM(E4:E6)</f>
        <v/>
      </c>
      <c r="F3" s="6">
        <f>SUM(F4:F6)</f>
        <v/>
      </c>
      <c r="G3" s="6">
        <f>SUM(G4:G6)</f>
        <v/>
      </c>
      <c r="H3" s="7">
        <f>(E3+4*F3+G3)/6</f>
        <v/>
      </c>
      <c r="I3" s="6">
        <f>SUM(I4:I6)</f>
        <v/>
      </c>
      <c r="J3" s="6">
        <f>SUM(J4:J6)</f>
        <v/>
      </c>
      <c r="K3" s="6">
        <f>SUM(K4:K6)</f>
        <v/>
      </c>
      <c r="L3" s="7">
        <f>(I3+4*J3+K3)/6</f>
        <v/>
      </c>
      <c r="M3" s="7">
        <f>(K3-I3)/6</f>
        <v/>
      </c>
      <c r="N3" s="5" t="n"/>
      <c r="O3" s="5" t="n"/>
      <c r="P3" s="5" t="n"/>
      <c r="Q3" s="5" t="n"/>
      <c r="R3" s="5" t="n"/>
      <c r="S3" s="7">
        <f>SUM(S4:S6)</f>
        <v/>
      </c>
    </row>
    <row r="4">
      <c r="A4" s="8" t="inlineStr">
        <is>
          <t>1.1.1</t>
        </is>
      </c>
      <c r="B4" s="8" t="n"/>
      <c r="C4" s="8" t="n"/>
      <c r="D4" s="8" t="inlineStr">
        <is>
          <t>Kickoff meeting and stakeholder alignment</t>
        </is>
      </c>
      <c r="E4" s="9" t="n">
        <v>2</v>
      </c>
      <c r="F4" s="9" t="n">
        <v>3</v>
      </c>
      <c r="G4" s="9" t="n">
        <v>4</v>
      </c>
      <c r="H4" s="10">
        <f>(E4+4*F4+G4)/6</f>
        <v/>
      </c>
      <c r="I4" s="9" t="n">
        <v>2</v>
      </c>
      <c r="J4" s="9" t="n">
        <v>3</v>
      </c>
      <c r="K4" s="9" t="n">
        <v>4</v>
      </c>
      <c r="L4" s="10">
        <f>(I4+4*J4+K4)/6</f>
        <v/>
      </c>
      <c r="M4" s="10">
        <f>(K4-I4)/6</f>
        <v/>
      </c>
      <c r="N4" s="8" t="inlineStr">
        <is>
          <t>PMO, BDM</t>
        </is>
      </c>
      <c r="O4" s="8" t="inlineStr"/>
      <c r="P4" s="8" t="inlineStr">
        <is>
          <t>R06</t>
        </is>
      </c>
      <c r="Q4" s="8" t="inlineStr"/>
      <c r="R4" s="8" t="inlineStr">
        <is>
          <t>Y</t>
        </is>
      </c>
      <c r="S4" s="10">
        <f>IF(R4="Y",H4,0)</f>
        <v/>
      </c>
    </row>
    <row r="5">
      <c r="A5" s="8" t="inlineStr">
        <is>
          <t>1.1.2</t>
        </is>
      </c>
      <c r="B5" s="8" t="n"/>
      <c r="C5" s="8" t="n"/>
      <c r="D5" s="8" t="inlineStr">
        <is>
          <t>Project charter and governance model definition</t>
        </is>
      </c>
      <c r="E5" s="9" t="n">
        <v>3</v>
      </c>
      <c r="F5" s="9" t="n">
        <v>4</v>
      </c>
      <c r="G5" s="9" t="n">
        <v>6</v>
      </c>
      <c r="H5" s="10">
        <f>(E5+4*F5+G5)/6</f>
        <v/>
      </c>
      <c r="I5" s="9" t="n">
        <v>3</v>
      </c>
      <c r="J5" s="9" t="n">
        <v>4</v>
      </c>
      <c r="K5" s="9" t="n">
        <v>6</v>
      </c>
      <c r="L5" s="10">
        <f>(I5+4*J5+K5)/6</f>
        <v/>
      </c>
      <c r="M5" s="10">
        <f>(K5-I5)/6</f>
        <v/>
      </c>
      <c r="N5" s="8" t="inlineStr">
        <is>
          <t>PMO</t>
        </is>
      </c>
      <c r="O5" s="8" t="inlineStr">
        <is>
          <t>1.1.1</t>
        </is>
      </c>
      <c r="P5" s="8" t="inlineStr"/>
      <c r="Q5" s="8" t="inlineStr"/>
      <c r="R5" s="8" t="inlineStr">
        <is>
          <t>Y</t>
        </is>
      </c>
      <c r="S5" s="10">
        <f>IF(R5="Y",H5,0)</f>
        <v/>
      </c>
    </row>
    <row r="6">
      <c r="A6" s="8" t="inlineStr">
        <is>
          <t>1.1.3</t>
        </is>
      </c>
      <c r="B6" s="8" t="n"/>
      <c r="C6" s="8" t="n"/>
      <c r="D6" s="8" t="inlineStr">
        <is>
          <t>Tool and environment setup (Jira, Confluence, VPN, dev sandbox)</t>
        </is>
      </c>
      <c r="E6" s="9" t="n">
        <v>2</v>
      </c>
      <c r="F6" s="9" t="n">
        <v>3</v>
      </c>
      <c r="G6" s="9" t="n">
        <v>5</v>
      </c>
      <c r="H6" s="10">
        <f>(E6+4*F6+G6)/6</f>
        <v/>
      </c>
      <c r="I6" s="9" t="n">
        <v>2</v>
      </c>
      <c r="J6" s="9" t="n">
        <v>3</v>
      </c>
      <c r="K6" s="9" t="n">
        <v>5</v>
      </c>
      <c r="L6" s="10">
        <f>(I6+4*J6+K6)/6</f>
        <v/>
      </c>
      <c r="M6" s="10">
        <f>(K6-I6)/6</f>
        <v/>
      </c>
      <c r="N6" s="8" t="inlineStr">
        <is>
          <t>SRE</t>
        </is>
      </c>
      <c r="O6" s="8" t="inlineStr"/>
      <c r="P6" s="8" t="inlineStr">
        <is>
          <t>R11</t>
        </is>
      </c>
      <c r="Q6" s="8" t="inlineStr">
        <is>
          <t>Cloud provisioning dependent on vendor SLA</t>
        </is>
      </c>
      <c r="R6" s="8" t="inlineStr">
        <is>
          <t>Y</t>
        </is>
      </c>
      <c r="S6" s="10">
        <f>IF(R6="Y",H6,0)</f>
        <v/>
      </c>
    </row>
    <row r="7">
      <c r="A7" s="5" t="inlineStr">
        <is>
          <t>1.2</t>
        </is>
      </c>
      <c r="B7" s="5" t="n"/>
      <c r="C7" s="5" t="inlineStr">
        <is>
          <t>Current Landscape Assessment</t>
        </is>
      </c>
      <c r="D7" s="5" t="n"/>
      <c r="E7" s="6">
        <f>SUM(E8:E9)</f>
        <v/>
      </c>
      <c r="F7" s="6">
        <f>SUM(F8:F9)</f>
        <v/>
      </c>
      <c r="G7" s="6">
        <f>SUM(G8:G9)</f>
        <v/>
      </c>
      <c r="H7" s="7">
        <f>(E7+4*F7+G7)/6</f>
        <v/>
      </c>
      <c r="I7" s="6">
        <f>SUM(I8:I9)</f>
        <v/>
      </c>
      <c r="J7" s="6">
        <f>SUM(J8:J9)</f>
        <v/>
      </c>
      <c r="K7" s="6">
        <f>SUM(K8:K9)</f>
        <v/>
      </c>
      <c r="L7" s="7">
        <f>(I7+4*J7+K7)/6</f>
        <v/>
      </c>
      <c r="M7" s="7">
        <f>(K7-I7)/6</f>
        <v/>
      </c>
      <c r="N7" s="5" t="n"/>
      <c r="O7" s="5" t="n"/>
      <c r="P7" s="5" t="n"/>
      <c r="Q7" s="5" t="n"/>
      <c r="R7" s="5" t="n"/>
      <c r="S7" s="7">
        <f>SUM(S8:S9)</f>
        <v/>
      </c>
    </row>
    <row r="8">
      <c r="A8" s="8" t="inlineStr">
        <is>
          <t>1.2.1</t>
        </is>
      </c>
      <c r="B8" s="8" t="n"/>
      <c r="C8" s="8" t="n"/>
      <c r="D8" s="8" t="inlineStr">
        <is>
          <t>Inventory of existing ERP modules and custom objects</t>
        </is>
      </c>
      <c r="E8" s="9" t="n">
        <v>4</v>
      </c>
      <c r="F8" s="9" t="n">
        <v>6</v>
      </c>
      <c r="G8" s="9" t="n">
        <v>9</v>
      </c>
      <c r="H8" s="10">
        <f>(E8+4*F8+G8)/6</f>
        <v/>
      </c>
      <c r="I8" s="9" t="n">
        <v>4</v>
      </c>
      <c r="J8" s="9" t="n">
        <v>6</v>
      </c>
      <c r="K8" s="9" t="n">
        <v>9</v>
      </c>
      <c r="L8" s="10">
        <f>(I8+4*J8+K8)/6</f>
        <v/>
      </c>
      <c r="M8" s="10">
        <f>(K8-I8)/6</f>
        <v/>
      </c>
      <c r="N8" s="8" t="inlineStr">
        <is>
          <t>SAP, BDM</t>
        </is>
      </c>
      <c r="O8" s="8" t="inlineStr">
        <is>
          <t>1.1.2</t>
        </is>
      </c>
      <c r="P8" s="8" t="inlineStr">
        <is>
          <t>R07</t>
        </is>
      </c>
      <c r="Q8" s="8" t="inlineStr"/>
      <c r="R8" s="8" t="inlineStr">
        <is>
          <t>Y</t>
        </is>
      </c>
      <c r="S8" s="10">
        <f>IF(R8="Y",H8,0)</f>
        <v/>
      </c>
    </row>
    <row r="9">
      <c r="A9" s="8" t="inlineStr">
        <is>
          <t>1.2.2</t>
        </is>
      </c>
      <c r="B9" s="8" t="n"/>
      <c r="C9" s="8" t="n"/>
      <c r="D9" s="8" t="inlineStr">
        <is>
          <t>Technical infrastructure assessment (servers, DB, integrations)</t>
        </is>
      </c>
      <c r="E9" s="9" t="n">
        <v>3</v>
      </c>
      <c r="F9" s="9" t="n">
        <v>5</v>
      </c>
      <c r="G9" s="9" t="n">
        <v>7</v>
      </c>
      <c r="H9" s="10">
        <f>(E9+4*F9+G9)/6</f>
        <v/>
      </c>
      <c r="I9" s="9" t="n">
        <v>3</v>
      </c>
      <c r="J9" s="9" t="n">
        <v>5</v>
      </c>
      <c r="K9" s="9" t="n">
        <v>7</v>
      </c>
      <c r="L9" s="10">
        <f>(I9+4*J9+K9)/6</f>
        <v/>
      </c>
      <c r="M9" s="10">
        <f>(K9-I9)/6</f>
        <v/>
      </c>
      <c r="N9" s="8" t="inlineStr">
        <is>
          <t>SRE, DA</t>
        </is>
      </c>
      <c r="O9" s="8" t="inlineStr">
        <is>
          <t>1.1.2</t>
        </is>
      </c>
      <c r="P9" s="8" t="inlineStr">
        <is>
          <t>R04</t>
        </is>
      </c>
      <c r="Q9" s="8" t="inlineStr"/>
      <c r="R9" s="8" t="inlineStr">
        <is>
          <t>Y</t>
        </is>
      </c>
      <c r="S9" s="10">
        <f>IF(R9="Y",H9,0)</f>
        <v/>
      </c>
    </row>
    <row r="10">
      <c r="A10" s="2" t="inlineStr">
        <is>
          <t>2</t>
        </is>
      </c>
      <c r="B10" s="2" t="inlineStr">
        <is>
          <t>As-Is Analysis</t>
        </is>
      </c>
      <c r="C10" s="2" t="n"/>
      <c r="D10" s="2" t="n"/>
      <c r="E10" s="3">
        <f>SUM(E12,E13,E14,E16,E17)</f>
        <v/>
      </c>
      <c r="F10" s="3">
        <f>SUM(F12,F13,F14,F16,F17)</f>
        <v/>
      </c>
      <c r="G10" s="3">
        <f>SUM(G12,G13,G14,G16,G17)</f>
        <v/>
      </c>
      <c r="H10" s="4">
        <f>(E10+4*F10+G10)/6</f>
        <v/>
      </c>
      <c r="I10" s="3">
        <f>SUM(I12,I13,I14,I16,I17)</f>
        <v/>
      </c>
      <c r="J10" s="3">
        <f>SUM(J12,J13,J14,J16,J17)</f>
        <v/>
      </c>
      <c r="K10" s="3">
        <f>SUM(K12,K13,K14,K16,K17)</f>
        <v/>
      </c>
      <c r="L10" s="4">
        <f>(I10+4*J10+K10)/6</f>
        <v/>
      </c>
      <c r="M10" s="4">
        <f>(K10-I10)/6</f>
        <v/>
      </c>
      <c r="N10" s="2" t="n"/>
      <c r="O10" s="2" t="n"/>
      <c r="P10" s="2" t="n"/>
      <c r="Q10" s="2" t="n"/>
      <c r="R10" s="2" t="n"/>
      <c r="S10" s="4">
        <f>SUM(S12,S13,S14,S16,S17)</f>
        <v/>
      </c>
    </row>
    <row r="11">
      <c r="A11" s="5" t="inlineStr">
        <is>
          <t>2.1</t>
        </is>
      </c>
      <c r="B11" s="5" t="n"/>
      <c r="C11" s="5" t="inlineStr">
        <is>
          <t>Business Process Documentation</t>
        </is>
      </c>
      <c r="D11" s="5" t="n"/>
      <c r="E11" s="6">
        <f>SUM(E12:E14)</f>
        <v/>
      </c>
      <c r="F11" s="6">
        <f>SUM(F12:F14)</f>
        <v/>
      </c>
      <c r="G11" s="6">
        <f>SUM(G12:G14)</f>
        <v/>
      </c>
      <c r="H11" s="7">
        <f>(E11+4*F11+G11)/6</f>
        <v/>
      </c>
      <c r="I11" s="6">
        <f>SUM(I12:I14)</f>
        <v/>
      </c>
      <c r="J11" s="6">
        <f>SUM(J12:J14)</f>
        <v/>
      </c>
      <c r="K11" s="6">
        <f>SUM(K12:K14)</f>
        <v/>
      </c>
      <c r="L11" s="7">
        <f>(I11+4*J11+K11)/6</f>
        <v/>
      </c>
      <c r="M11" s="7">
        <f>(K11-I11)/6</f>
        <v/>
      </c>
      <c r="N11" s="5" t="n"/>
      <c r="O11" s="5" t="n"/>
      <c r="P11" s="5" t="n"/>
      <c r="Q11" s="5" t="n"/>
      <c r="R11" s="5" t="n"/>
      <c r="S11" s="7">
        <f>SUM(S12:S14)</f>
        <v/>
      </c>
    </row>
    <row r="12">
      <c r="A12" s="8" t="inlineStr">
        <is>
          <t>2.1.1</t>
        </is>
      </c>
      <c r="B12" s="8" t="n"/>
      <c r="C12" s="8" t="n"/>
      <c r="D12" s="8" t="inlineStr">
        <is>
          <t>Finance process mapping (FI/CO)</t>
        </is>
      </c>
      <c r="E12" s="9" t="n">
        <v>6</v>
      </c>
      <c r="F12" s="9" t="n">
        <v>8</v>
      </c>
      <c r="G12" s="9" t="n">
        <v>12</v>
      </c>
      <c r="H12" s="10">
        <f>(E12+4*F12+G12)/6</f>
        <v/>
      </c>
      <c r="I12" s="9" t="n">
        <v>6</v>
      </c>
      <c r="J12" s="9" t="n">
        <v>8</v>
      </c>
      <c r="K12" s="9" t="n">
        <v>12</v>
      </c>
      <c r="L12" s="10">
        <f>(I12+4*J12+K12)/6</f>
        <v/>
      </c>
      <c r="M12" s="10">
        <f>(K12-I12)/6</f>
        <v/>
      </c>
      <c r="N12" s="8" t="inlineStr">
        <is>
          <t>BDM, SAP</t>
        </is>
      </c>
      <c r="O12" s="8" t="inlineStr">
        <is>
          <t>1.2.1</t>
        </is>
      </c>
      <c r="P12" s="8" t="inlineStr">
        <is>
          <t>R03</t>
        </is>
      </c>
      <c r="Q12" s="8" t="inlineStr"/>
      <c r="R12" s="8" t="inlineStr">
        <is>
          <t>Y</t>
        </is>
      </c>
      <c r="S12" s="10">
        <f>IF(R12="Y",H12,0)</f>
        <v/>
      </c>
    </row>
    <row r="13">
      <c r="A13" s="8" t="inlineStr">
        <is>
          <t>2.1.2</t>
        </is>
      </c>
      <c r="B13" s="8" t="n"/>
      <c r="C13" s="8" t="n"/>
      <c r="D13" s="8" t="inlineStr">
        <is>
          <t>Logistics and warehouse process mapping (MM/WM/PP)</t>
        </is>
      </c>
      <c r="E13" s="9" t="n">
        <v>5</v>
      </c>
      <c r="F13" s="9" t="n">
        <v>7</v>
      </c>
      <c r="G13" s="9" t="n">
        <v>10</v>
      </c>
      <c r="H13" s="10">
        <f>(E13+4*F13+G13)/6</f>
        <v/>
      </c>
      <c r="I13" s="9" t="n">
        <v>5</v>
      </c>
      <c r="J13" s="9" t="n">
        <v>7</v>
      </c>
      <c r="K13" s="9" t="n">
        <v>10</v>
      </c>
      <c r="L13" s="10">
        <f>(I13+4*J13+K13)/6</f>
        <v/>
      </c>
      <c r="M13" s="10">
        <f>(K13-I13)/6</f>
        <v/>
      </c>
      <c r="N13" s="8" t="inlineStr">
        <is>
          <t>BDM, SAP</t>
        </is>
      </c>
      <c r="O13" s="8" t="inlineStr">
        <is>
          <t>1.2.1</t>
        </is>
      </c>
      <c r="P13" s="8" t="inlineStr">
        <is>
          <t>R03</t>
        </is>
      </c>
      <c r="Q13" s="8" t="inlineStr"/>
      <c r="R13" s="8" t="inlineStr">
        <is>
          <t>Y</t>
        </is>
      </c>
      <c r="S13" s="10">
        <f>IF(R13="Y",H13,0)</f>
        <v/>
      </c>
    </row>
    <row r="14">
      <c r="A14" s="8" t="inlineStr">
        <is>
          <t>2.1.3</t>
        </is>
      </c>
      <c r="B14" s="8" t="n"/>
      <c r="C14" s="8" t="n"/>
      <c r="D14" s="8" t="inlineStr">
        <is>
          <t>HR process documentation (HCM)</t>
        </is>
      </c>
      <c r="E14" s="9" t="n">
        <v>3</v>
      </c>
      <c r="F14" s="9" t="n">
        <v>5</v>
      </c>
      <c r="G14" s="9" t="n">
        <v>7</v>
      </c>
      <c r="H14" s="10">
        <f>(E14+4*F14+G14)/6</f>
        <v/>
      </c>
      <c r="I14" s="9" t="n">
        <v>3</v>
      </c>
      <c r="J14" s="9" t="n">
        <v>5</v>
      </c>
      <c r="K14" s="9" t="n">
        <v>7</v>
      </c>
      <c r="L14" s="10">
        <f>(I14+4*J14+K14)/6</f>
        <v/>
      </c>
      <c r="M14" s="10">
        <f>(K14-I14)/6</f>
        <v/>
      </c>
      <c r="N14" s="8" t="inlineStr">
        <is>
          <t>BDM</t>
        </is>
      </c>
      <c r="O14" s="8" t="inlineStr">
        <is>
          <t>1.2.1</t>
        </is>
      </c>
      <c r="P14" s="8" t="inlineStr"/>
      <c r="Q14" s="8" t="inlineStr"/>
      <c r="R14" s="8" t="inlineStr">
        <is>
          <t>Y</t>
        </is>
      </c>
      <c r="S14" s="10">
        <f>IF(R14="Y",H14,0)</f>
        <v/>
      </c>
    </row>
    <row r="15">
      <c r="A15" s="5" t="inlineStr">
        <is>
          <t>2.2</t>
        </is>
      </c>
      <c r="B15" s="5" t="n"/>
      <c r="C15" s="5" t="inlineStr">
        <is>
          <t>Technical Gap Analysis</t>
        </is>
      </c>
      <c r="D15" s="5" t="n"/>
      <c r="E15" s="6">
        <f>SUM(E16:E17)</f>
        <v/>
      </c>
      <c r="F15" s="6">
        <f>SUM(F16:F17)</f>
        <v/>
      </c>
      <c r="G15" s="6">
        <f>SUM(G16:G17)</f>
        <v/>
      </c>
      <c r="H15" s="7">
        <f>(E15+4*F15+G15)/6</f>
        <v/>
      </c>
      <c r="I15" s="6">
        <f>SUM(I16:I17)</f>
        <v/>
      </c>
      <c r="J15" s="6">
        <f>SUM(J16:J17)</f>
        <v/>
      </c>
      <c r="K15" s="6">
        <f>SUM(K16:K17)</f>
        <v/>
      </c>
      <c r="L15" s="7">
        <f>(I15+4*J15+K15)/6</f>
        <v/>
      </c>
      <c r="M15" s="7">
        <f>(K15-I15)/6</f>
        <v/>
      </c>
      <c r="N15" s="5" t="n"/>
      <c r="O15" s="5" t="n"/>
      <c r="P15" s="5" t="n"/>
      <c r="Q15" s="5" t="n"/>
      <c r="R15" s="5" t="n"/>
      <c r="S15" s="7">
        <f>SUM(S16:S17)</f>
        <v/>
      </c>
    </row>
    <row r="16">
      <c r="A16" s="8" t="inlineStr">
        <is>
          <t>2.2.1</t>
        </is>
      </c>
      <c r="B16" s="8" t="n"/>
      <c r="C16" s="8" t="n"/>
      <c r="D16" s="8" t="inlineStr">
        <is>
          <t>Custom ABAP code inventory and complexity scoring</t>
        </is>
      </c>
      <c r="E16" s="9" t="n">
        <v>5</v>
      </c>
      <c r="F16" s="9" t="n">
        <v>8</v>
      </c>
      <c r="G16" s="9" t="n">
        <v>14</v>
      </c>
      <c r="H16" s="10">
        <f>(E16+4*F16+G16)/6</f>
        <v/>
      </c>
      <c r="I16" s="9" t="n">
        <v>5</v>
      </c>
      <c r="J16" s="9" t="n">
        <v>8</v>
      </c>
      <c r="K16" s="9" t="n">
        <v>14</v>
      </c>
      <c r="L16" s="10">
        <f>(I16+4*J16+K16)/6</f>
        <v/>
      </c>
      <c r="M16" s="10">
        <f>(K16-I16)/6</f>
        <v/>
      </c>
      <c r="N16" s="8" t="inlineStr">
        <is>
          <t>SAP</t>
        </is>
      </c>
      <c r="O16" s="8" t="inlineStr">
        <is>
          <t>1.2.1</t>
        </is>
      </c>
      <c r="P16" s="8" t="inlineStr">
        <is>
          <t>R07</t>
        </is>
      </c>
      <c r="Q16" s="8" t="inlineStr">
        <is>
          <t>Complexity depends on number of custom Z-objects found</t>
        </is>
      </c>
      <c r="R16" s="8" t="inlineStr">
        <is>
          <t>Y</t>
        </is>
      </c>
      <c r="S16" s="10">
        <f>IF(R16="Y",H16,0)</f>
        <v/>
      </c>
    </row>
    <row r="17">
      <c r="A17" s="8" t="inlineStr">
        <is>
          <t>2.2.2</t>
        </is>
      </c>
      <c r="B17" s="8" t="n"/>
      <c r="C17" s="8" t="n"/>
      <c r="D17" s="8" t="inlineStr">
        <is>
          <t>Integration interfaces catalogue (EDI, port systems, customs)</t>
        </is>
      </c>
      <c r="E17" s="9" t="n">
        <v>4</v>
      </c>
      <c r="F17" s="9" t="n">
        <v>6</v>
      </c>
      <c r="G17" s="9" t="n">
        <v>9</v>
      </c>
      <c r="H17" s="10">
        <f>(E17+4*F17+G17)/6</f>
        <v/>
      </c>
      <c r="I17" s="9" t="n">
        <v>4</v>
      </c>
      <c r="J17" s="9" t="n">
        <v>6</v>
      </c>
      <c r="K17" s="9" t="n">
        <v>9</v>
      </c>
      <c r="L17" s="10">
        <f>(I17+4*J17+K17)/6</f>
        <v/>
      </c>
      <c r="M17" s="10">
        <f>(K17-I17)/6</f>
        <v/>
      </c>
      <c r="N17" s="8" t="inlineStr">
        <is>
          <t>SAP, DA</t>
        </is>
      </c>
      <c r="O17" s="8" t="inlineStr">
        <is>
          <t>1.2.2</t>
        </is>
      </c>
      <c r="P17" s="8" t="inlineStr">
        <is>
          <t>R05</t>
        </is>
      </c>
      <c r="Q17" s="8" t="inlineStr"/>
      <c r="R17" s="8" t="inlineStr">
        <is>
          <t>Y</t>
        </is>
      </c>
      <c r="S17" s="10">
        <f>IF(R17="Y",H17,0)</f>
        <v/>
      </c>
    </row>
    <row r="18">
      <c r="A18" s="2" t="inlineStr">
        <is>
          <t>3</t>
        </is>
      </c>
      <c r="B18" s="2" t="inlineStr">
        <is>
          <t>To-Be Design</t>
        </is>
      </c>
      <c r="C18" s="2" t="n"/>
      <c r="D18" s="2" t="n"/>
      <c r="E18" s="3">
        <f>SUM(E20,E21,E22,E24,E25)</f>
        <v/>
      </c>
      <c r="F18" s="3">
        <f>SUM(F20,F21,F22,F24,F25)</f>
        <v/>
      </c>
      <c r="G18" s="3">
        <f>SUM(G20,G21,G22,G24,G25)</f>
        <v/>
      </c>
      <c r="H18" s="4">
        <f>(E18+4*F18+G18)/6</f>
        <v/>
      </c>
      <c r="I18" s="3">
        <f>SUM(I20,I21,I22,I24,I25)</f>
        <v/>
      </c>
      <c r="J18" s="3">
        <f>SUM(J20,J21,J22,J24,J25)</f>
        <v/>
      </c>
      <c r="K18" s="3">
        <f>SUM(K20,K21,K22,K24,K25)</f>
        <v/>
      </c>
      <c r="L18" s="4">
        <f>(I18+4*J18+K18)/6</f>
        <v/>
      </c>
      <c r="M18" s="4">
        <f>(K18-I18)/6</f>
        <v/>
      </c>
      <c r="N18" s="2" t="n"/>
      <c r="O18" s="2" t="n"/>
      <c r="P18" s="2" t="n"/>
      <c r="Q18" s="2" t="n"/>
      <c r="R18" s="2" t="n"/>
      <c r="S18" s="4">
        <f>SUM(S20,S21,S22,S24,S25)</f>
        <v/>
      </c>
    </row>
    <row r="19">
      <c r="A19" s="5" t="inlineStr">
        <is>
          <t>3.1</t>
        </is>
      </c>
      <c r="B19" s="5" t="n"/>
      <c r="C19" s="5" t="inlineStr">
        <is>
          <t>Solution Architecture</t>
        </is>
      </c>
      <c r="D19" s="5" t="n"/>
      <c r="E19" s="6">
        <f>SUM(E20:E22)</f>
        <v/>
      </c>
      <c r="F19" s="6">
        <f>SUM(F20:F22)</f>
        <v/>
      </c>
      <c r="G19" s="6">
        <f>SUM(G20:G22)</f>
        <v/>
      </c>
      <c r="H19" s="7">
        <f>(E19+4*F19+G19)/6</f>
        <v/>
      </c>
      <c r="I19" s="6">
        <f>SUM(I20:I22)</f>
        <v/>
      </c>
      <c r="J19" s="6">
        <f>SUM(J20:J22)</f>
        <v/>
      </c>
      <c r="K19" s="6">
        <f>SUM(K20:K22)</f>
        <v/>
      </c>
      <c r="L19" s="7">
        <f>(I19+4*J19+K19)/6</f>
        <v/>
      </c>
      <c r="M19" s="7">
        <f>(K19-I19)/6</f>
        <v/>
      </c>
      <c r="N19" s="5" t="n"/>
      <c r="O19" s="5" t="n"/>
      <c r="P19" s="5" t="n"/>
      <c r="Q19" s="5" t="n"/>
      <c r="R19" s="5" t="n"/>
      <c r="S19" s="7">
        <f>SUM(S20:S22)</f>
        <v/>
      </c>
    </row>
    <row r="20">
      <c r="A20" s="8" t="inlineStr">
        <is>
          <t>3.1.1</t>
        </is>
      </c>
      <c r="B20" s="8" t="n"/>
      <c r="C20" s="8" t="n"/>
      <c r="D20" s="8" t="inlineStr">
        <is>
          <t>Target architecture blueprint (cloud topology, tenancy model)</t>
        </is>
      </c>
      <c r="E20" s="9" t="n">
        <v>5</v>
      </c>
      <c r="F20" s="9" t="n">
        <v>7</v>
      </c>
      <c r="G20" s="9" t="n">
        <v>10</v>
      </c>
      <c r="H20" s="10">
        <f>(E20+4*F20+G20)/6</f>
        <v/>
      </c>
      <c r="I20" s="9" t="n">
        <v>5</v>
      </c>
      <c r="J20" s="9" t="n">
        <v>7</v>
      </c>
      <c r="K20" s="9" t="n">
        <v>10</v>
      </c>
      <c r="L20" s="10">
        <f>(I20+4*J20+K20)/6</f>
        <v/>
      </c>
      <c r="M20" s="10">
        <f>(K20-I20)/6</f>
        <v/>
      </c>
      <c r="N20" s="8" t="inlineStr">
        <is>
          <t>SRE, SAP</t>
        </is>
      </c>
      <c r="O20" s="8" t="inlineStr">
        <is>
          <t>2.2.1, 2.2.2</t>
        </is>
      </c>
      <c r="P20" s="8" t="inlineStr">
        <is>
          <t>R04, R11</t>
        </is>
      </c>
      <c r="Q20" s="8" t="inlineStr"/>
      <c r="R20" s="8" t="inlineStr">
        <is>
          <t>Y</t>
        </is>
      </c>
      <c r="S20" s="10">
        <f>IF(R20="Y",H20,0)</f>
        <v/>
      </c>
    </row>
    <row r="21">
      <c r="A21" s="8" t="inlineStr">
        <is>
          <t>3.1.2</t>
        </is>
      </c>
      <c r="B21" s="8" t="n"/>
      <c r="C21" s="8" t="n"/>
      <c r="D21" s="8" t="inlineStr">
        <is>
          <t>Integration design — BTP middleware and API gateway</t>
        </is>
      </c>
      <c r="E21" s="9" t="n">
        <v>6</v>
      </c>
      <c r="F21" s="9" t="n">
        <v>8</v>
      </c>
      <c r="G21" s="9" t="n">
        <v>12</v>
      </c>
      <c r="H21" s="10">
        <f>(E21+4*F21+G21)/6</f>
        <v/>
      </c>
      <c r="I21" s="9" t="n">
        <v>6</v>
      </c>
      <c r="J21" s="9" t="n">
        <v>8</v>
      </c>
      <c r="K21" s="9" t="n">
        <v>12</v>
      </c>
      <c r="L21" s="10">
        <f>(I21+4*J21+K21)/6</f>
        <v/>
      </c>
      <c r="M21" s="10">
        <f>(K21-I21)/6</f>
        <v/>
      </c>
      <c r="N21" s="8" t="inlineStr">
        <is>
          <t>SAP, DA</t>
        </is>
      </c>
      <c r="O21" s="8" t="inlineStr">
        <is>
          <t>3.1.1</t>
        </is>
      </c>
      <c r="P21" s="8" t="inlineStr">
        <is>
          <t>R05</t>
        </is>
      </c>
      <c r="Q21" s="8" t="inlineStr"/>
      <c r="R21" s="8" t="inlineStr">
        <is>
          <t>Y</t>
        </is>
      </c>
      <c r="S21" s="10">
        <f>IF(R21="Y",H21,0)</f>
        <v/>
      </c>
    </row>
    <row r="22">
      <c r="A22" s="8" t="inlineStr">
        <is>
          <t>3.1.3</t>
        </is>
      </c>
      <c r="B22" s="8" t="n"/>
      <c r="C22" s="8" t="n"/>
      <c r="D22" s="8" t="inlineStr">
        <is>
          <t>Security and authorisation model design</t>
        </is>
      </c>
      <c r="E22" s="9" t="n">
        <v>3</v>
      </c>
      <c r="F22" s="9" t="n">
        <v>4</v>
      </c>
      <c r="G22" s="9" t="n">
        <v>6</v>
      </c>
      <c r="H22" s="10">
        <f>(E22+4*F22+G22)/6</f>
        <v/>
      </c>
      <c r="I22" s="9" t="n">
        <v>3</v>
      </c>
      <c r="J22" s="9" t="n">
        <v>4</v>
      </c>
      <c r="K22" s="9" t="n">
        <v>6</v>
      </c>
      <c r="L22" s="10">
        <f>(I22+4*J22+K22)/6</f>
        <v/>
      </c>
      <c r="M22" s="10">
        <f>(K22-I22)/6</f>
        <v/>
      </c>
      <c r="N22" s="8" t="inlineStr">
        <is>
          <t>SRE</t>
        </is>
      </c>
      <c r="O22" s="8" t="inlineStr">
        <is>
          <t>3.1.1</t>
        </is>
      </c>
      <c r="P22" s="8" t="inlineStr"/>
      <c r="Q22" s="8" t="inlineStr"/>
      <c r="R22" s="8" t="inlineStr">
        <is>
          <t>Y</t>
        </is>
      </c>
      <c r="S22" s="10">
        <f>IF(R22="Y",H22,0)</f>
        <v/>
      </c>
    </row>
    <row r="23">
      <c r="A23" s="5" t="inlineStr">
        <is>
          <t>3.2</t>
        </is>
      </c>
      <c r="B23" s="5" t="n"/>
      <c r="C23" s="5" t="inlineStr">
        <is>
          <t>Functional Design</t>
        </is>
      </c>
      <c r="D23" s="5" t="n"/>
      <c r="E23" s="6">
        <f>SUM(E24:E25)</f>
        <v/>
      </c>
      <c r="F23" s="6">
        <f>SUM(F24:F25)</f>
        <v/>
      </c>
      <c r="G23" s="6">
        <f>SUM(G24:G25)</f>
        <v/>
      </c>
      <c r="H23" s="7">
        <f>(E23+4*F23+G23)/6</f>
        <v/>
      </c>
      <c r="I23" s="6">
        <f>SUM(I24:I25)</f>
        <v/>
      </c>
      <c r="J23" s="6">
        <f>SUM(J24:J25)</f>
        <v/>
      </c>
      <c r="K23" s="6">
        <f>SUM(K24:K25)</f>
        <v/>
      </c>
      <c r="L23" s="7">
        <f>(I23+4*J23+K23)/6</f>
        <v/>
      </c>
      <c r="M23" s="7">
        <f>(K23-I23)/6</f>
        <v/>
      </c>
      <c r="N23" s="5" t="n"/>
      <c r="O23" s="5" t="n"/>
      <c r="P23" s="5" t="n"/>
      <c r="Q23" s="5" t="n"/>
      <c r="R23" s="5" t="n"/>
      <c r="S23" s="7">
        <f>SUM(S24:S25)</f>
        <v/>
      </c>
    </row>
    <row r="24">
      <c r="A24" s="8" t="inlineStr">
        <is>
          <t>3.2.1</t>
        </is>
      </c>
      <c r="B24" s="8" t="n"/>
      <c r="C24" s="8" t="n"/>
      <c r="D24" s="8" t="inlineStr">
        <is>
          <t>Process redesign workshops (Finance, Logistics, HR)</t>
        </is>
      </c>
      <c r="E24" s="9" t="n">
        <v>8</v>
      </c>
      <c r="F24" s="9" t="n">
        <v>12</v>
      </c>
      <c r="G24" s="9" t="n">
        <v>18</v>
      </c>
      <c r="H24" s="10">
        <f>(E24+4*F24+G24)/6</f>
        <v/>
      </c>
      <c r="I24" s="9" t="n">
        <v>8</v>
      </c>
      <c r="J24" s="9" t="n">
        <v>12</v>
      </c>
      <c r="K24" s="9" t="n">
        <v>18</v>
      </c>
      <c r="L24" s="10">
        <f>(I24+4*J24+K24)/6</f>
        <v/>
      </c>
      <c r="M24" s="10">
        <f>(K24-I24)/6</f>
        <v/>
      </c>
      <c r="N24" s="8" t="inlineStr">
        <is>
          <t>BDM, SAP</t>
        </is>
      </c>
      <c r="O24" s="8" t="inlineStr">
        <is>
          <t>2.1.1, 2.1.2, 2.1.3</t>
        </is>
      </c>
      <c r="P24" s="8" t="inlineStr">
        <is>
          <t>R03, R06</t>
        </is>
      </c>
      <c r="Q24" s="8" t="inlineStr">
        <is>
          <t>Requires full stakeholder availability</t>
        </is>
      </c>
      <c r="R24" s="8" t="inlineStr">
        <is>
          <t>Y</t>
        </is>
      </c>
      <c r="S24" s="10">
        <f>IF(R24="Y",H24,0)</f>
        <v/>
      </c>
    </row>
    <row r="25">
      <c r="A25" s="8" t="inlineStr">
        <is>
          <t>3.2.2</t>
        </is>
      </c>
      <c r="B25" s="8" t="n"/>
      <c r="C25" s="8" t="n"/>
      <c r="D25" s="8" t="inlineStr">
        <is>
          <t>Configuration workbook and delta design document</t>
        </is>
      </c>
      <c r="E25" s="9" t="n">
        <v>5</v>
      </c>
      <c r="F25" s="9" t="n">
        <v>7</v>
      </c>
      <c r="G25" s="9" t="n">
        <v>10</v>
      </c>
      <c r="H25" s="10">
        <f>(E25+4*F25+G25)/6</f>
        <v/>
      </c>
      <c r="I25" s="9" t="n">
        <v>5</v>
      </c>
      <c r="J25" s="9" t="n">
        <v>7</v>
      </c>
      <c r="K25" s="9" t="n">
        <v>10</v>
      </c>
      <c r="L25" s="10">
        <f>(I25+4*J25+K25)/6</f>
        <v/>
      </c>
      <c r="M25" s="10">
        <f>(K25-I25)/6</f>
        <v/>
      </c>
      <c r="N25" s="8" t="inlineStr">
        <is>
          <t>BDM, SAP</t>
        </is>
      </c>
      <c r="O25" s="8" t="inlineStr">
        <is>
          <t>3.2.1</t>
        </is>
      </c>
      <c r="P25" s="8" t="inlineStr"/>
      <c r="Q25" s="8" t="inlineStr"/>
      <c r="R25" s="8" t="inlineStr">
        <is>
          <t>Y</t>
        </is>
      </c>
      <c r="S25" s="10">
        <f>IF(R25="Y",H25,0)</f>
        <v/>
      </c>
    </row>
    <row r="26">
      <c r="A26" s="2" t="inlineStr">
        <is>
          <t>4</t>
        </is>
      </c>
      <c r="B26" s="2" t="inlineStr">
        <is>
          <t>Data Migration</t>
        </is>
      </c>
      <c r="C26" s="2" t="n"/>
      <c r="D26" s="2" t="n"/>
      <c r="E26" s="3">
        <f>SUM(E28,E29,E31,E32,E33)</f>
        <v/>
      </c>
      <c r="F26" s="3">
        <f>SUM(F28,F29,F31,F32,F33)</f>
        <v/>
      </c>
      <c r="G26" s="3">
        <f>SUM(G28,G29,G31,G32,G33)</f>
        <v/>
      </c>
      <c r="H26" s="4">
        <f>(E26+4*F26+G26)/6</f>
        <v/>
      </c>
      <c r="I26" s="3">
        <f>SUM(I28,I29,I31,I32,I33)</f>
        <v/>
      </c>
      <c r="J26" s="3">
        <f>SUM(J28,J29,J31,J32,J33)</f>
        <v/>
      </c>
      <c r="K26" s="3">
        <f>SUM(K28,K29,K31,K32,K33)</f>
        <v/>
      </c>
      <c r="L26" s="4">
        <f>(I26+4*J26+K26)/6</f>
        <v/>
      </c>
      <c r="M26" s="4">
        <f>(K26-I26)/6</f>
        <v/>
      </c>
      <c r="N26" s="2" t="n"/>
      <c r="O26" s="2" t="n"/>
      <c r="P26" s="2" t="n"/>
      <c r="Q26" s="2" t="n"/>
      <c r="R26" s="2" t="n"/>
      <c r="S26" s="4">
        <f>SUM(S28,S29,S31,S32,S33)</f>
        <v/>
      </c>
    </row>
    <row r="27">
      <c r="A27" s="5" t="inlineStr">
        <is>
          <t>4.1</t>
        </is>
      </c>
      <c r="B27" s="5" t="n"/>
      <c r="C27" s="5" t="inlineStr">
        <is>
          <t>Data Migration Strategy</t>
        </is>
      </c>
      <c r="D27" s="5" t="n"/>
      <c r="E27" s="6">
        <f>SUM(E28:E29)</f>
        <v/>
      </c>
      <c r="F27" s="6">
        <f>SUM(F28:F29)</f>
        <v/>
      </c>
      <c r="G27" s="6">
        <f>SUM(G28:G29)</f>
        <v/>
      </c>
      <c r="H27" s="7">
        <f>(E27+4*F27+G27)/6</f>
        <v/>
      </c>
      <c r="I27" s="6">
        <f>SUM(I28:I29)</f>
        <v/>
      </c>
      <c r="J27" s="6">
        <f>SUM(J28:J29)</f>
        <v/>
      </c>
      <c r="K27" s="6">
        <f>SUM(K28:K29)</f>
        <v/>
      </c>
      <c r="L27" s="7">
        <f>(I27+4*J27+K27)/6</f>
        <v/>
      </c>
      <c r="M27" s="7">
        <f>(K27-I27)/6</f>
        <v/>
      </c>
      <c r="N27" s="5" t="n"/>
      <c r="O27" s="5" t="n"/>
      <c r="P27" s="5" t="n"/>
      <c r="Q27" s="5" t="n"/>
      <c r="R27" s="5" t="n"/>
      <c r="S27" s="7">
        <f>SUM(S28:S29)</f>
        <v/>
      </c>
    </row>
    <row r="28">
      <c r="A28" s="8" t="inlineStr">
        <is>
          <t>4.1.1</t>
        </is>
      </c>
      <c r="B28" s="8" t="n"/>
      <c r="C28" s="8" t="n"/>
      <c r="D28" s="8" t="inlineStr">
        <is>
          <t>Data objects catalogue and migration approach per object</t>
        </is>
      </c>
      <c r="E28" s="9" t="n">
        <v>5</v>
      </c>
      <c r="F28" s="9" t="n">
        <v>7</v>
      </c>
      <c r="G28" s="9" t="n">
        <v>10</v>
      </c>
      <c r="H28" s="10">
        <f>(E28+4*F28+G28)/6</f>
        <v/>
      </c>
      <c r="I28" s="9" t="n">
        <v>5</v>
      </c>
      <c r="J28" s="9" t="n">
        <v>7</v>
      </c>
      <c r="K28" s="9" t="n">
        <v>10</v>
      </c>
      <c r="L28" s="10">
        <f>(I28+4*J28+K28)/6</f>
        <v/>
      </c>
      <c r="M28" s="10">
        <f>(K28-I28)/6</f>
        <v/>
      </c>
      <c r="N28" s="8" t="inlineStr">
        <is>
          <t>DA, SAP</t>
        </is>
      </c>
      <c r="O28" s="8" t="inlineStr">
        <is>
          <t>2.2.1</t>
        </is>
      </c>
      <c r="P28" s="8" t="inlineStr">
        <is>
          <t>R02</t>
        </is>
      </c>
      <c r="Q28" s="8" t="inlineStr"/>
      <c r="R28" s="8" t="inlineStr">
        <is>
          <t>Y</t>
        </is>
      </c>
      <c r="S28" s="10">
        <f>IF(R28="Y",H28,0)</f>
        <v/>
      </c>
    </row>
    <row r="29">
      <c r="A29" s="8" t="inlineStr">
        <is>
          <t>4.1.2</t>
        </is>
      </c>
      <c r="B29" s="8" t="n"/>
      <c r="C29" s="8" t="n"/>
      <c r="D29" s="8" t="inlineStr">
        <is>
          <t>Data quality assessment and cleansing rules definition</t>
        </is>
      </c>
      <c r="E29" s="9" t="n">
        <v>6</v>
      </c>
      <c r="F29" s="9" t="n">
        <v>10</v>
      </c>
      <c r="G29" s="9" t="n">
        <v>18</v>
      </c>
      <c r="H29" s="10">
        <f>(E29+4*F29+G29)/6</f>
        <v/>
      </c>
      <c r="I29" s="9" t="n">
        <v>6</v>
      </c>
      <c r="J29" s="9" t="n">
        <v>10</v>
      </c>
      <c r="K29" s="9" t="n">
        <v>18</v>
      </c>
      <c r="L29" s="10">
        <f>(I29+4*J29+K29)/6</f>
        <v/>
      </c>
      <c r="M29" s="10">
        <f>(K29-I29)/6</f>
        <v/>
      </c>
      <c r="N29" s="8" t="inlineStr">
        <is>
          <t>DA</t>
        </is>
      </c>
      <c r="O29" s="8" t="inlineStr">
        <is>
          <t>4.1.1</t>
        </is>
      </c>
      <c r="P29" s="8" t="inlineStr">
        <is>
          <t>R02</t>
        </is>
      </c>
      <c r="Q29" s="8" t="inlineStr">
        <is>
          <t>Legacy data quality is the primary risk driver</t>
        </is>
      </c>
      <c r="R29" s="8" t="inlineStr">
        <is>
          <t>Y</t>
        </is>
      </c>
      <c r="S29" s="10">
        <f>IF(R29="Y",H29,0)</f>
        <v/>
      </c>
    </row>
    <row r="30">
      <c r="A30" s="5" t="inlineStr">
        <is>
          <t>4.2</t>
        </is>
      </c>
      <c r="B30" s="5" t="n"/>
      <c r="C30" s="5" t="inlineStr">
        <is>
          <t>ETL Build &amp; Dry-Run</t>
        </is>
      </c>
      <c r="D30" s="5" t="n"/>
      <c r="E30" s="6">
        <f>SUM(E31:E33)</f>
        <v/>
      </c>
      <c r="F30" s="6">
        <f>SUM(F31:F33)</f>
        <v/>
      </c>
      <c r="G30" s="6">
        <f>SUM(G31:G33)</f>
        <v/>
      </c>
      <c r="H30" s="7">
        <f>(E30+4*F30+G30)/6</f>
        <v/>
      </c>
      <c r="I30" s="6">
        <f>SUM(I31:I33)</f>
        <v/>
      </c>
      <c r="J30" s="6">
        <f>SUM(J31:J33)</f>
        <v/>
      </c>
      <c r="K30" s="6">
        <f>SUM(K31:K33)</f>
        <v/>
      </c>
      <c r="L30" s="7">
        <f>(I30+4*J30+K30)/6</f>
        <v/>
      </c>
      <c r="M30" s="7">
        <f>(K30-I30)/6</f>
        <v/>
      </c>
      <c r="N30" s="5" t="n"/>
      <c r="O30" s="5" t="n"/>
      <c r="P30" s="5" t="n"/>
      <c r="Q30" s="5" t="n"/>
      <c r="R30" s="5" t="n"/>
      <c r="S30" s="7">
        <f>SUM(S31:S33)</f>
        <v/>
      </c>
    </row>
    <row r="31">
      <c r="A31" s="8" t="inlineStr">
        <is>
          <t>4.2.1</t>
        </is>
      </c>
      <c r="B31" s="8" t="n"/>
      <c r="C31" s="8" t="n"/>
      <c r="D31" s="8" t="inlineStr">
        <is>
          <t>Extraction scripts and LTMC/BODS mapping</t>
        </is>
      </c>
      <c r="E31" s="9" t="n">
        <v>8</v>
      </c>
      <c r="F31" s="9" t="n">
        <v>12</v>
      </c>
      <c r="G31" s="9" t="n">
        <v>18</v>
      </c>
      <c r="H31" s="10">
        <f>(E31+4*F31+G31)/6</f>
        <v/>
      </c>
      <c r="I31" s="9" t="n">
        <v>8</v>
      </c>
      <c r="J31" s="9" t="n">
        <v>12</v>
      </c>
      <c r="K31" s="9" t="n">
        <v>18</v>
      </c>
      <c r="L31" s="10">
        <f>(I31+4*J31+K31)/6</f>
        <v/>
      </c>
      <c r="M31" s="10">
        <f>(K31-I31)/6</f>
        <v/>
      </c>
      <c r="N31" s="8" t="inlineStr">
        <is>
          <t>DA, SAP</t>
        </is>
      </c>
      <c r="O31" s="8" t="inlineStr">
        <is>
          <t>4.1.2</t>
        </is>
      </c>
      <c r="P31" s="8" t="inlineStr">
        <is>
          <t>R02, R07</t>
        </is>
      </c>
      <c r="Q31" s="8" t="inlineStr"/>
      <c r="R31" s="8" t="inlineStr">
        <is>
          <t>Y</t>
        </is>
      </c>
      <c r="S31" s="10">
        <f>IF(R31="Y",H31,0)</f>
        <v/>
      </c>
    </row>
    <row r="32">
      <c r="A32" s="8" t="inlineStr">
        <is>
          <t>4.2.2</t>
        </is>
      </c>
      <c r="B32" s="8" t="n"/>
      <c r="C32" s="8" t="n"/>
      <c r="D32" s="8" t="inlineStr">
        <is>
          <t>Data cleansing and transformation routines</t>
        </is>
      </c>
      <c r="E32" s="9" t="n">
        <v>5</v>
      </c>
      <c r="F32" s="9" t="n">
        <v>8</v>
      </c>
      <c r="G32" s="9" t="n">
        <v>14</v>
      </c>
      <c r="H32" s="10">
        <f>(E32+4*F32+G32)/6</f>
        <v/>
      </c>
      <c r="I32" s="9" t="n">
        <v>5</v>
      </c>
      <c r="J32" s="9" t="n">
        <v>8</v>
      </c>
      <c r="K32" s="9" t="n">
        <v>14</v>
      </c>
      <c r="L32" s="10">
        <f>(I32+4*J32+K32)/6</f>
        <v/>
      </c>
      <c r="M32" s="10">
        <f>(K32-I32)/6</f>
        <v/>
      </c>
      <c r="N32" s="8" t="inlineStr">
        <is>
          <t>DA</t>
        </is>
      </c>
      <c r="O32" s="8" t="inlineStr">
        <is>
          <t>4.2.1</t>
        </is>
      </c>
      <c r="P32" s="8" t="inlineStr">
        <is>
          <t>R02</t>
        </is>
      </c>
      <c r="Q32" s="8" t="inlineStr"/>
      <c r="R32" s="8" t="inlineStr">
        <is>
          <t>Y</t>
        </is>
      </c>
      <c r="S32" s="10">
        <f>IF(R32="Y",H32,0)</f>
        <v/>
      </c>
    </row>
    <row r="33">
      <c r="A33" s="8" t="inlineStr">
        <is>
          <t>4.2.3</t>
        </is>
      </c>
      <c r="B33" s="8" t="n"/>
      <c r="C33" s="8" t="n"/>
      <c r="D33" s="8" t="inlineStr">
        <is>
          <t>Dry-run execution and reconciliation report</t>
        </is>
      </c>
      <c r="E33" s="9" t="n">
        <v>4</v>
      </c>
      <c r="F33" s="9" t="n">
        <v>6</v>
      </c>
      <c r="G33" s="9" t="n">
        <v>10</v>
      </c>
      <c r="H33" s="10">
        <f>(E33+4*F33+G33)/6</f>
        <v/>
      </c>
      <c r="I33" s="9" t="n">
        <v>4</v>
      </c>
      <c r="J33" s="9" t="n">
        <v>6</v>
      </c>
      <c r="K33" s="9" t="n">
        <v>10</v>
      </c>
      <c r="L33" s="10">
        <f>(I33+4*J33+K33)/6</f>
        <v/>
      </c>
      <c r="M33" s="10">
        <f>(K33-I33)/6</f>
        <v/>
      </c>
      <c r="N33" s="8" t="inlineStr">
        <is>
          <t>DA, SAP</t>
        </is>
      </c>
      <c r="O33" s="8" t="inlineStr">
        <is>
          <t>4.2.2</t>
        </is>
      </c>
      <c r="P33" s="8" t="inlineStr">
        <is>
          <t>R09</t>
        </is>
      </c>
      <c r="Q33" s="8" t="inlineStr"/>
      <c r="R33" s="8" t="inlineStr">
        <is>
          <t>Y</t>
        </is>
      </c>
      <c r="S33" s="10">
        <f>IF(R33="Y",H33,0)</f>
        <v/>
      </c>
    </row>
    <row r="34">
      <c r="A34" s="2" t="inlineStr">
        <is>
          <t>5</t>
        </is>
      </c>
      <c r="B34" s="2" t="inlineStr">
        <is>
          <t>Development</t>
        </is>
      </c>
      <c r="C34" s="2" t="n"/>
      <c r="D34" s="2" t="n"/>
      <c r="E34" s="3">
        <f>SUM(E36,E37,E39,E40,E41)</f>
        <v/>
      </c>
      <c r="F34" s="3">
        <f>SUM(F36,F37,F39,F40,F41)</f>
        <v/>
      </c>
      <c r="G34" s="3">
        <f>SUM(G36,G37,G39,G40,G41)</f>
        <v/>
      </c>
      <c r="H34" s="4">
        <f>(E34+4*F34+G34)/6</f>
        <v/>
      </c>
      <c r="I34" s="3">
        <f>SUM(I36,I37,I39,I40,I41)</f>
        <v/>
      </c>
      <c r="J34" s="3">
        <f>SUM(J36,J37,J39,J40,J41)</f>
        <v/>
      </c>
      <c r="K34" s="3">
        <f>SUM(K36,K37,K39,K40,K41)</f>
        <v/>
      </c>
      <c r="L34" s="4">
        <f>(I34+4*J34+K34)/6</f>
        <v/>
      </c>
      <c r="M34" s="4">
        <f>(K34-I34)/6</f>
        <v/>
      </c>
      <c r="N34" s="2" t="n"/>
      <c r="O34" s="2" t="n"/>
      <c r="P34" s="2" t="n"/>
      <c r="Q34" s="2" t="n"/>
      <c r="R34" s="2" t="n"/>
      <c r="S34" s="4">
        <f>SUM(S36,S37,S39,S40,S41)</f>
        <v/>
      </c>
    </row>
    <row r="35">
      <c r="A35" s="5" t="inlineStr">
        <is>
          <t>5.1</t>
        </is>
      </c>
      <c r="B35" s="5" t="n"/>
      <c r="C35" s="5" t="inlineStr">
        <is>
          <t>System Configuration</t>
        </is>
      </c>
      <c r="D35" s="5" t="n"/>
      <c r="E35" s="6">
        <f>SUM(E36:E37)</f>
        <v/>
      </c>
      <c r="F35" s="6">
        <f>SUM(F36:F37)</f>
        <v/>
      </c>
      <c r="G35" s="6">
        <f>SUM(G36:G37)</f>
        <v/>
      </c>
      <c r="H35" s="7">
        <f>(E35+4*F35+G35)/6</f>
        <v/>
      </c>
      <c r="I35" s="6">
        <f>SUM(I36:I37)</f>
        <v/>
      </c>
      <c r="J35" s="6">
        <f>SUM(J36:J37)</f>
        <v/>
      </c>
      <c r="K35" s="6">
        <f>SUM(K36:K37)</f>
        <v/>
      </c>
      <c r="L35" s="7">
        <f>(I35+4*J35+K35)/6</f>
        <v/>
      </c>
      <c r="M35" s="7">
        <f>(K35-I35)/6</f>
        <v/>
      </c>
      <c r="N35" s="5" t="n"/>
      <c r="O35" s="5" t="n"/>
      <c r="P35" s="5" t="n"/>
      <c r="Q35" s="5" t="n"/>
      <c r="R35" s="5" t="n"/>
      <c r="S35" s="7">
        <f>SUM(S36:S37)</f>
        <v/>
      </c>
    </row>
    <row r="36">
      <c r="A36" s="8" t="inlineStr">
        <is>
          <t>5.1.1</t>
        </is>
      </c>
      <c r="B36" s="8" t="n"/>
      <c r="C36" s="8" t="n"/>
      <c r="D36" s="8" t="inlineStr">
        <is>
          <t>S/4HANA system configuration (Finance module)</t>
        </is>
      </c>
      <c r="E36" s="9" t="n">
        <v>10</v>
      </c>
      <c r="F36" s="9" t="n">
        <v>14</v>
      </c>
      <c r="G36" s="9" t="n">
        <v>20</v>
      </c>
      <c r="H36" s="10">
        <f>(E36+4*F36+G36)/6</f>
        <v/>
      </c>
      <c r="I36" s="9" t="n">
        <v>10</v>
      </c>
      <c r="J36" s="9" t="n">
        <v>14</v>
      </c>
      <c r="K36" s="9" t="n">
        <v>20</v>
      </c>
      <c r="L36" s="10">
        <f>(I36+4*J36+K36)/6</f>
        <v/>
      </c>
      <c r="M36" s="10">
        <f>(K36-I36)/6</f>
        <v/>
      </c>
      <c r="N36" s="8" t="inlineStr">
        <is>
          <t>SAP</t>
        </is>
      </c>
      <c r="O36" s="8" t="inlineStr">
        <is>
          <t>3.2.2</t>
        </is>
      </c>
      <c r="P36" s="8" t="inlineStr">
        <is>
          <t>R04</t>
        </is>
      </c>
      <c r="Q36" s="8" t="inlineStr"/>
      <c r="R36" s="8" t="inlineStr">
        <is>
          <t>Y</t>
        </is>
      </c>
      <c r="S36" s="10">
        <f>IF(R36="Y",H36,0)</f>
        <v/>
      </c>
    </row>
    <row r="37">
      <c r="A37" s="8" t="inlineStr">
        <is>
          <t>5.1.2</t>
        </is>
      </c>
      <c r="B37" s="8" t="n"/>
      <c r="C37" s="8" t="n"/>
      <c r="D37" s="8" t="inlineStr">
        <is>
          <t>S/4HANA system configuration (Logistics and Operations modules)</t>
        </is>
      </c>
      <c r="E37" s="9" t="n">
        <v>10</v>
      </c>
      <c r="F37" s="9" t="n">
        <v>14</v>
      </c>
      <c r="G37" s="9" t="n">
        <v>20</v>
      </c>
      <c r="H37" s="10">
        <f>(E37+4*F37+G37)/6</f>
        <v/>
      </c>
      <c r="I37" s="9" t="n">
        <v>10</v>
      </c>
      <c r="J37" s="9" t="n">
        <v>14</v>
      </c>
      <c r="K37" s="9" t="n">
        <v>20</v>
      </c>
      <c r="L37" s="10">
        <f>(I37+4*J37+K37)/6</f>
        <v/>
      </c>
      <c r="M37" s="10">
        <f>(K37-I37)/6</f>
        <v/>
      </c>
      <c r="N37" s="8" t="inlineStr">
        <is>
          <t>SAP</t>
        </is>
      </c>
      <c r="O37" s="8" t="inlineStr">
        <is>
          <t>3.2.2</t>
        </is>
      </c>
      <c r="P37" s="8" t="inlineStr">
        <is>
          <t>R04</t>
        </is>
      </c>
      <c r="Q37" s="8" t="inlineStr"/>
      <c r="R37" s="8" t="inlineStr">
        <is>
          <t>Y</t>
        </is>
      </c>
      <c r="S37" s="10">
        <f>IF(R37="Y",H37,0)</f>
        <v/>
      </c>
    </row>
    <row r="38">
      <c r="A38" s="5" t="inlineStr">
        <is>
          <t>5.2</t>
        </is>
      </c>
      <c r="B38" s="5" t="n"/>
      <c r="C38" s="5" t="inlineStr">
        <is>
          <t>Custom Development</t>
        </is>
      </c>
      <c r="D38" s="5" t="n"/>
      <c r="E38" s="6">
        <f>SUM(E39:E41)</f>
        <v/>
      </c>
      <c r="F38" s="6">
        <f>SUM(F39:F41)</f>
        <v/>
      </c>
      <c r="G38" s="6">
        <f>SUM(G39:G41)</f>
        <v/>
      </c>
      <c r="H38" s="7">
        <f>(E38+4*F38+G38)/6</f>
        <v/>
      </c>
      <c r="I38" s="6">
        <f>SUM(I39:I41)</f>
        <v/>
      </c>
      <c r="J38" s="6">
        <f>SUM(J39:J41)</f>
        <v/>
      </c>
      <c r="K38" s="6">
        <f>SUM(K39:K41)</f>
        <v/>
      </c>
      <c r="L38" s="7">
        <f>(I38+4*J38+K38)/6</f>
        <v/>
      </c>
      <c r="M38" s="7">
        <f>(K38-I38)/6</f>
        <v/>
      </c>
      <c r="N38" s="5" t="n"/>
      <c r="O38" s="5" t="n"/>
      <c r="P38" s="5" t="n"/>
      <c r="Q38" s="5" t="n"/>
      <c r="R38" s="5" t="n"/>
      <c r="S38" s="7">
        <f>SUM(S39:S41)</f>
        <v/>
      </c>
    </row>
    <row r="39">
      <c r="A39" s="8" t="inlineStr">
        <is>
          <t>5.2.1</t>
        </is>
      </c>
      <c r="B39" s="8" t="n"/>
      <c r="C39" s="8" t="n"/>
      <c r="D39" s="8" t="inlineStr">
        <is>
          <t>Custom RICEF objects (Reports, Interfaces, Conversions, Enhancements, Forms)</t>
        </is>
      </c>
      <c r="E39" s="9" t="n">
        <v>14</v>
      </c>
      <c r="F39" s="9" t="n">
        <v>20</v>
      </c>
      <c r="G39" s="9" t="n">
        <v>30</v>
      </c>
      <c r="H39" s="10">
        <f>(E39+4*F39+G39)/6</f>
        <v/>
      </c>
      <c r="I39" s="9" t="n">
        <v>14</v>
      </c>
      <c r="J39" s="9" t="n">
        <v>20</v>
      </c>
      <c r="K39" s="9" t="n">
        <v>30</v>
      </c>
      <c r="L39" s="10">
        <f>(I39+4*J39+K39)/6</f>
        <v/>
      </c>
      <c r="M39" s="10">
        <f>(K39-I39)/6</f>
        <v/>
      </c>
      <c r="N39" s="8" t="inlineStr">
        <is>
          <t>SAP</t>
        </is>
      </c>
      <c r="O39" s="8" t="inlineStr">
        <is>
          <t>5.1.1, 5.1.2</t>
        </is>
      </c>
      <c r="P39" s="8" t="inlineStr">
        <is>
          <t>R07, R01</t>
        </is>
      </c>
      <c r="Q39" s="8" t="inlineStr">
        <is>
          <t>Volume depends on custom code inventory findings</t>
        </is>
      </c>
      <c r="R39" s="8" t="inlineStr">
        <is>
          <t>Y</t>
        </is>
      </c>
      <c r="S39" s="10">
        <f>IF(R39="Y",H39,0)</f>
        <v/>
      </c>
    </row>
    <row r="40">
      <c r="A40" s="8" t="inlineStr">
        <is>
          <t>5.2.2</t>
        </is>
      </c>
      <c r="B40" s="8" t="n"/>
      <c r="C40" s="8" t="n"/>
      <c r="D40" s="8" t="inlineStr">
        <is>
          <t>BTP integration flows and API adaptors</t>
        </is>
      </c>
      <c r="E40" s="9" t="n">
        <v>8</v>
      </c>
      <c r="F40" s="9" t="n">
        <v>12</v>
      </c>
      <c r="G40" s="9" t="n">
        <v>18</v>
      </c>
      <c r="H40" s="10">
        <f>(E40+4*F40+G40)/6</f>
        <v/>
      </c>
      <c r="I40" s="9" t="n">
        <v>8</v>
      </c>
      <c r="J40" s="9" t="n">
        <v>12</v>
      </c>
      <c r="K40" s="9" t="n">
        <v>18</v>
      </c>
      <c r="L40" s="10">
        <f>(I40+4*J40+K40)/6</f>
        <v/>
      </c>
      <c r="M40" s="10">
        <f>(K40-I40)/6</f>
        <v/>
      </c>
      <c r="N40" s="8" t="inlineStr">
        <is>
          <t>SAP, DA</t>
        </is>
      </c>
      <c r="O40" s="8" t="inlineStr">
        <is>
          <t>3.1.2</t>
        </is>
      </c>
      <c r="P40" s="8" t="inlineStr">
        <is>
          <t>R05</t>
        </is>
      </c>
      <c r="Q40" s="8" t="inlineStr"/>
      <c r="R40" s="8" t="inlineStr">
        <is>
          <t>Y</t>
        </is>
      </c>
      <c r="S40" s="10">
        <f>IF(R40="Y",H40,0)</f>
        <v/>
      </c>
    </row>
    <row r="41">
      <c r="A41" s="8" t="inlineStr">
        <is>
          <t>5.2.3</t>
        </is>
      </c>
      <c r="B41" s="8" t="n"/>
      <c r="C41" s="8" t="n"/>
      <c r="D41" s="8" t="inlineStr">
        <is>
          <t>Port authority-specific extensions and PCS connector</t>
        </is>
      </c>
      <c r="E41" s="9" t="n">
        <v>6</v>
      </c>
      <c r="F41" s="9" t="n">
        <v>9</v>
      </c>
      <c r="G41" s="9" t="n">
        <v>14</v>
      </c>
      <c r="H41" s="10">
        <f>(E41+4*F41+G41)/6</f>
        <v/>
      </c>
      <c r="I41" s="9" t="n">
        <v>6</v>
      </c>
      <c r="J41" s="9" t="n">
        <v>9</v>
      </c>
      <c r="K41" s="9" t="n">
        <v>14</v>
      </c>
      <c r="L41" s="10">
        <f>(I41+4*J41+K41)/6</f>
        <v/>
      </c>
      <c r="M41" s="10">
        <f>(K41-I41)/6</f>
        <v/>
      </c>
      <c r="N41" s="8" t="inlineStr">
        <is>
          <t>SAP</t>
        </is>
      </c>
      <c r="O41" s="8" t="inlineStr">
        <is>
          <t>5.2.2</t>
        </is>
      </c>
      <c r="P41" s="8" t="inlineStr">
        <is>
          <t>R05</t>
        </is>
      </c>
      <c r="Q41" s="8" t="inlineStr">
        <is>
          <t>Dependent on PCS vendor API documentation</t>
        </is>
      </c>
      <c r="R41" s="8" t="inlineStr">
        <is>
          <t>Y</t>
        </is>
      </c>
      <c r="S41" s="10">
        <f>IF(R41="Y",H41,0)</f>
        <v/>
      </c>
    </row>
    <row r="42">
      <c r="A42" s="2" t="inlineStr">
        <is>
          <t>6</t>
        </is>
      </c>
      <c r="B42" s="2" t="inlineStr">
        <is>
          <t>Testing</t>
        </is>
      </c>
      <c r="C42" s="2" t="n"/>
      <c r="D42" s="2" t="n"/>
      <c r="E42" s="3">
        <f>SUM(E44,E45,E46,E48,E49,E50)</f>
        <v/>
      </c>
      <c r="F42" s="3">
        <f>SUM(F44,F45,F46,F48,F49,F50)</f>
        <v/>
      </c>
      <c r="G42" s="3">
        <f>SUM(G44,G45,G46,G48,G49,G50)</f>
        <v/>
      </c>
      <c r="H42" s="4">
        <f>(E42+4*F42+G42)/6</f>
        <v/>
      </c>
      <c r="I42" s="3">
        <f>SUM(I44,I45,I46,I48,I49,I50)</f>
        <v/>
      </c>
      <c r="J42" s="3">
        <f>SUM(J44,J45,J46,J48,J49,J50)</f>
        <v/>
      </c>
      <c r="K42" s="3">
        <f>SUM(K44,K45,K46,K48,K49,K50)</f>
        <v/>
      </c>
      <c r="L42" s="4">
        <f>(I42+4*J42+K42)/6</f>
        <v/>
      </c>
      <c r="M42" s="4">
        <f>(K42-I42)/6</f>
        <v/>
      </c>
      <c r="N42" s="2" t="n"/>
      <c r="O42" s="2" t="n"/>
      <c r="P42" s="2" t="n"/>
      <c r="Q42" s="2" t="n"/>
      <c r="R42" s="2" t="n"/>
      <c r="S42" s="4">
        <f>SUM(S44,S45,S46,S48,S49,S50)</f>
        <v/>
      </c>
    </row>
    <row r="43">
      <c r="A43" s="5" t="inlineStr">
        <is>
          <t>6.1</t>
        </is>
      </c>
      <c r="B43" s="5" t="n"/>
      <c r="C43" s="5" t="inlineStr">
        <is>
          <t>System &amp; Integration Testing</t>
        </is>
      </c>
      <c r="D43" s="5" t="n"/>
      <c r="E43" s="6">
        <f>SUM(E44:E46)</f>
        <v/>
      </c>
      <c r="F43" s="6">
        <f>SUM(F44:F46)</f>
        <v/>
      </c>
      <c r="G43" s="6">
        <f>SUM(G44:G46)</f>
        <v/>
      </c>
      <c r="H43" s="7">
        <f>(E43+4*F43+G43)/6</f>
        <v/>
      </c>
      <c r="I43" s="6">
        <f>SUM(I44:I46)</f>
        <v/>
      </c>
      <c r="J43" s="6">
        <f>SUM(J44:J46)</f>
        <v/>
      </c>
      <c r="K43" s="6">
        <f>SUM(K44:K46)</f>
        <v/>
      </c>
      <c r="L43" s="7">
        <f>(I43+4*J43+K43)/6</f>
        <v/>
      </c>
      <c r="M43" s="7">
        <f>(K43-I43)/6</f>
        <v/>
      </c>
      <c r="N43" s="5" t="n"/>
      <c r="O43" s="5" t="n"/>
      <c r="P43" s="5" t="n"/>
      <c r="Q43" s="5" t="n"/>
      <c r="R43" s="5" t="n"/>
      <c r="S43" s="7">
        <f>SUM(S44:S46)</f>
        <v/>
      </c>
    </row>
    <row r="44">
      <c r="A44" s="8" t="inlineStr">
        <is>
          <t>6.1.1</t>
        </is>
      </c>
      <c r="B44" s="8" t="n"/>
      <c r="C44" s="8" t="n"/>
      <c r="D44" s="8" t="inlineStr">
        <is>
          <t>Unit and configuration testing</t>
        </is>
      </c>
      <c r="E44" s="9" t="n">
        <v>5</v>
      </c>
      <c r="F44" s="9" t="n">
        <v>8</v>
      </c>
      <c r="G44" s="9" t="n">
        <v>12</v>
      </c>
      <c r="H44" s="10">
        <f>(E44+4*F44+G44)/6</f>
        <v/>
      </c>
      <c r="I44" s="9" t="n">
        <v>5</v>
      </c>
      <c r="J44" s="9" t="n">
        <v>8</v>
      </c>
      <c r="K44" s="9" t="n">
        <v>12</v>
      </c>
      <c r="L44" s="10">
        <f>(I44+4*J44+K44)/6</f>
        <v/>
      </c>
      <c r="M44" s="10">
        <f>(K44-I44)/6</f>
        <v/>
      </c>
      <c r="N44" s="8" t="inlineStr">
        <is>
          <t>SAP</t>
        </is>
      </c>
      <c r="O44" s="8" t="inlineStr">
        <is>
          <t>5.1.1, 5.1.2, 5.2.1</t>
        </is>
      </c>
      <c r="P44" s="8" t="inlineStr"/>
      <c r="Q44" s="8" t="inlineStr"/>
      <c r="R44" s="8" t="inlineStr">
        <is>
          <t>Y</t>
        </is>
      </c>
      <c r="S44" s="10">
        <f>IF(R44="Y",H44,0)</f>
        <v/>
      </c>
    </row>
    <row r="45">
      <c r="A45" s="8" t="inlineStr">
        <is>
          <t>6.1.2</t>
        </is>
      </c>
      <c r="B45" s="8" t="n"/>
      <c r="C45" s="8" t="n"/>
      <c r="D45" s="8" t="inlineStr">
        <is>
          <t>Integration testing (end-to-end process chains)</t>
        </is>
      </c>
      <c r="E45" s="9" t="n">
        <v>8</v>
      </c>
      <c r="F45" s="9" t="n">
        <v>12</v>
      </c>
      <c r="G45" s="9" t="n">
        <v>18</v>
      </c>
      <c r="H45" s="10">
        <f>(E45+4*F45+G45)/6</f>
        <v/>
      </c>
      <c r="I45" s="9" t="n">
        <v>8</v>
      </c>
      <c r="J45" s="9" t="n">
        <v>12</v>
      </c>
      <c r="K45" s="9" t="n">
        <v>18</v>
      </c>
      <c r="L45" s="10">
        <f>(I45+4*J45+K45)/6</f>
        <v/>
      </c>
      <c r="M45" s="10">
        <f>(K45-I45)/6</f>
        <v/>
      </c>
      <c r="N45" s="8" t="inlineStr">
        <is>
          <t>SAP, BDM</t>
        </is>
      </c>
      <c r="O45" s="8" t="inlineStr">
        <is>
          <t>6.1.1, 5.2.2, 5.2.3</t>
        </is>
      </c>
      <c r="P45" s="8" t="inlineStr">
        <is>
          <t>R05, R07</t>
        </is>
      </c>
      <c r="Q45" s="8" t="inlineStr"/>
      <c r="R45" s="8" t="inlineStr">
        <is>
          <t>Y</t>
        </is>
      </c>
      <c r="S45" s="10">
        <f>IF(R45="Y",H45,0)</f>
        <v/>
      </c>
    </row>
    <row r="46">
      <c r="A46" s="8" t="inlineStr">
        <is>
          <t>6.1.3</t>
        </is>
      </c>
      <c r="B46" s="8" t="n"/>
      <c r="C46" s="8" t="n"/>
      <c r="D46" s="8" t="inlineStr">
        <is>
          <t>Performance and load testing</t>
        </is>
      </c>
      <c r="E46" s="9" t="n">
        <v>3</v>
      </c>
      <c r="F46" s="9" t="n">
        <v>5</v>
      </c>
      <c r="G46" s="9" t="n">
        <v>8</v>
      </c>
      <c r="H46" s="10">
        <f>(E46+4*F46+G46)/6</f>
        <v/>
      </c>
      <c r="I46" s="9" t="n">
        <v>3</v>
      </c>
      <c r="J46" s="9" t="n">
        <v>5</v>
      </c>
      <c r="K46" s="9" t="n">
        <v>8</v>
      </c>
      <c r="L46" s="10">
        <f>(I46+4*J46+K46)/6</f>
        <v/>
      </c>
      <c r="M46" s="10">
        <f>(K46-I46)/6</f>
        <v/>
      </c>
      <c r="N46" s="8" t="inlineStr">
        <is>
          <t>SRE</t>
        </is>
      </c>
      <c r="O46" s="8" t="inlineStr">
        <is>
          <t>6.1.1</t>
        </is>
      </c>
      <c r="P46" s="8" t="inlineStr">
        <is>
          <t>R11</t>
        </is>
      </c>
      <c r="Q46" s="8" t="inlineStr"/>
      <c r="R46" s="8" t="inlineStr">
        <is>
          <t>Y</t>
        </is>
      </c>
      <c r="S46" s="10">
        <f>IF(R46="Y",H46,0)</f>
        <v/>
      </c>
    </row>
    <row r="47">
      <c r="A47" s="5" t="inlineStr">
        <is>
          <t>6.2</t>
        </is>
      </c>
      <c r="B47" s="5" t="n"/>
      <c r="C47" s="5" t="inlineStr">
        <is>
          <t>User Acceptance Testing</t>
        </is>
      </c>
      <c r="D47" s="5" t="n"/>
      <c r="E47" s="6">
        <f>SUM(E48:E50)</f>
        <v/>
      </c>
      <c r="F47" s="6">
        <f>SUM(F48:F50)</f>
        <v/>
      </c>
      <c r="G47" s="6">
        <f>SUM(G48:G50)</f>
        <v/>
      </c>
      <c r="H47" s="7">
        <f>(E47+4*F47+G47)/6</f>
        <v/>
      </c>
      <c r="I47" s="6">
        <f>SUM(I48:I50)</f>
        <v/>
      </c>
      <c r="J47" s="6">
        <f>SUM(J48:J50)</f>
        <v/>
      </c>
      <c r="K47" s="6">
        <f>SUM(K48:K50)</f>
        <v/>
      </c>
      <c r="L47" s="7">
        <f>(I47+4*J47+K47)/6</f>
        <v/>
      </c>
      <c r="M47" s="7">
        <f>(K47-I47)/6</f>
        <v/>
      </c>
      <c r="N47" s="5" t="n"/>
      <c r="O47" s="5" t="n"/>
      <c r="P47" s="5" t="n"/>
      <c r="Q47" s="5" t="n"/>
      <c r="R47" s="5" t="n"/>
      <c r="S47" s="7">
        <f>SUM(S48:S50)</f>
        <v/>
      </c>
    </row>
    <row r="48">
      <c r="A48" s="8" t="inlineStr">
        <is>
          <t>6.2.1</t>
        </is>
      </c>
      <c r="B48" s="8" t="n"/>
      <c r="C48" s="8" t="n"/>
      <c r="D48" s="8" t="inlineStr">
        <is>
          <t>UAT planning and scenario preparation</t>
        </is>
      </c>
      <c r="E48" s="9" t="n">
        <v>4</v>
      </c>
      <c r="F48" s="9" t="n">
        <v>5</v>
      </c>
      <c r="G48" s="9" t="n">
        <v>8</v>
      </c>
      <c r="H48" s="10">
        <f>(E48+4*F48+G48)/6</f>
        <v/>
      </c>
      <c r="I48" s="9" t="n">
        <v>4</v>
      </c>
      <c r="J48" s="9" t="n">
        <v>5</v>
      </c>
      <c r="K48" s="9" t="n">
        <v>8</v>
      </c>
      <c r="L48" s="10">
        <f>(I48+4*J48+K48)/6</f>
        <v/>
      </c>
      <c r="M48" s="10">
        <f>(K48-I48)/6</f>
        <v/>
      </c>
      <c r="N48" s="8" t="inlineStr">
        <is>
          <t>BDM, PMO</t>
        </is>
      </c>
      <c r="O48" s="8" t="inlineStr">
        <is>
          <t>6.1.2</t>
        </is>
      </c>
      <c r="P48" s="8" t="inlineStr">
        <is>
          <t>R08</t>
        </is>
      </c>
      <c r="Q48" s="8" t="inlineStr"/>
      <c r="R48" s="8" t="inlineStr">
        <is>
          <t>Y</t>
        </is>
      </c>
      <c r="S48" s="10">
        <f>IF(R48="Y",H48,0)</f>
        <v/>
      </c>
    </row>
    <row r="49">
      <c r="A49" s="8" t="inlineStr">
        <is>
          <t>6.2.2</t>
        </is>
      </c>
      <c r="B49" s="8" t="n"/>
      <c r="C49" s="8" t="n"/>
      <c r="D49" s="8" t="inlineStr">
        <is>
          <t>UAT execution with key users</t>
        </is>
      </c>
      <c r="E49" s="9" t="n">
        <v>6</v>
      </c>
      <c r="F49" s="9" t="n">
        <v>10</v>
      </c>
      <c r="G49" s="9" t="n">
        <v>16</v>
      </c>
      <c r="H49" s="10">
        <f>(E49+4*F49+G49)/6</f>
        <v/>
      </c>
      <c r="I49" s="9" t="n">
        <v>6</v>
      </c>
      <c r="J49" s="9" t="n">
        <v>10</v>
      </c>
      <c r="K49" s="9" t="n">
        <v>16</v>
      </c>
      <c r="L49" s="10">
        <f>(I49+4*J49+K49)/6</f>
        <v/>
      </c>
      <c r="M49" s="10">
        <f>(K49-I49)/6</f>
        <v/>
      </c>
      <c r="N49" s="8" t="inlineStr">
        <is>
          <t>BDM, SAP</t>
        </is>
      </c>
      <c r="O49" s="8" t="inlineStr">
        <is>
          <t>6.2.1</t>
        </is>
      </c>
      <c r="P49" s="8" t="inlineStr">
        <is>
          <t>R08, R06</t>
        </is>
      </c>
      <c r="Q49" s="8" t="inlineStr">
        <is>
          <t>Business key users must be available full time</t>
        </is>
      </c>
      <c r="R49" s="8" t="inlineStr">
        <is>
          <t>Y</t>
        </is>
      </c>
      <c r="S49" s="10">
        <f>IF(R49="Y",H49,0)</f>
        <v/>
      </c>
    </row>
    <row r="50">
      <c r="A50" s="8" t="inlineStr">
        <is>
          <t>6.2.3</t>
        </is>
      </c>
      <c r="B50" s="8" t="n"/>
      <c r="C50" s="8" t="n"/>
      <c r="D50" s="8" t="inlineStr">
        <is>
          <t>Defect resolution and re-testing</t>
        </is>
      </c>
      <c r="E50" s="9" t="n">
        <v>5</v>
      </c>
      <c r="F50" s="9" t="n">
        <v>8</v>
      </c>
      <c r="G50" s="9" t="n">
        <v>14</v>
      </c>
      <c r="H50" s="10">
        <f>(E50+4*F50+G50)/6</f>
        <v/>
      </c>
      <c r="I50" s="9" t="n">
        <v>5</v>
      </c>
      <c r="J50" s="9" t="n">
        <v>8</v>
      </c>
      <c r="K50" s="9" t="n">
        <v>14</v>
      </c>
      <c r="L50" s="10">
        <f>(I50+4*J50+K50)/6</f>
        <v/>
      </c>
      <c r="M50" s="10">
        <f>(K50-I50)/6</f>
        <v/>
      </c>
      <c r="N50" s="8" t="inlineStr">
        <is>
          <t>SAP, BDM</t>
        </is>
      </c>
      <c r="O50" s="8" t="inlineStr">
        <is>
          <t>6.2.2</t>
        </is>
      </c>
      <c r="P50" s="8" t="inlineStr">
        <is>
          <t>R07</t>
        </is>
      </c>
      <c r="Q50" s="8" t="inlineStr"/>
      <c r="R50" s="8" t="inlineStr">
        <is>
          <t>Y</t>
        </is>
      </c>
      <c r="S50" s="10">
        <f>IF(R50="Y",H50,0)</f>
        <v/>
      </c>
    </row>
    <row r="51">
      <c r="A51" s="2" t="inlineStr">
        <is>
          <t>7</t>
        </is>
      </c>
      <c r="B51" s="2" t="inlineStr">
        <is>
          <t>Training</t>
        </is>
      </c>
      <c r="C51" s="2" t="n"/>
      <c r="D51" s="2" t="n"/>
      <c r="E51" s="3">
        <f>SUM(E53,E54,E56,E57)</f>
        <v/>
      </c>
      <c r="F51" s="3">
        <f>SUM(F53,F54,F56,F57)</f>
        <v/>
      </c>
      <c r="G51" s="3">
        <f>SUM(G53,G54,G56,G57)</f>
        <v/>
      </c>
      <c r="H51" s="4">
        <f>(E51+4*F51+G51)/6</f>
        <v/>
      </c>
      <c r="I51" s="3">
        <f>SUM(I53,I54,I56,I57)</f>
        <v/>
      </c>
      <c r="J51" s="3">
        <f>SUM(J53,J54,J56,J57)</f>
        <v/>
      </c>
      <c r="K51" s="3">
        <f>SUM(K53,K54,K56,K57)</f>
        <v/>
      </c>
      <c r="L51" s="4">
        <f>(I51+4*J51+K51)/6</f>
        <v/>
      </c>
      <c r="M51" s="4">
        <f>(K51-I51)/6</f>
        <v/>
      </c>
      <c r="N51" s="2" t="n"/>
      <c r="O51" s="2" t="n"/>
      <c r="P51" s="2" t="n"/>
      <c r="Q51" s="2" t="n"/>
      <c r="R51" s="2" t="n"/>
      <c r="S51" s="4">
        <f>SUM(S53,S54,S56,S57)</f>
        <v/>
      </c>
    </row>
    <row r="52">
      <c r="A52" s="5" t="inlineStr">
        <is>
          <t>7.1</t>
        </is>
      </c>
      <c r="B52" s="5" t="n"/>
      <c r="C52" s="5" t="inlineStr">
        <is>
          <t>Training Material Development</t>
        </is>
      </c>
      <c r="D52" s="5" t="n"/>
      <c r="E52" s="6">
        <f>SUM(E53:E54)</f>
        <v/>
      </c>
      <c r="F52" s="6">
        <f>SUM(F53:F54)</f>
        <v/>
      </c>
      <c r="G52" s="6">
        <f>SUM(G53:G54)</f>
        <v/>
      </c>
      <c r="H52" s="7">
        <f>(E52+4*F52+G52)/6</f>
        <v/>
      </c>
      <c r="I52" s="6">
        <f>SUM(I53:I54)</f>
        <v/>
      </c>
      <c r="J52" s="6">
        <f>SUM(J53:J54)</f>
        <v/>
      </c>
      <c r="K52" s="6">
        <f>SUM(K53:K54)</f>
        <v/>
      </c>
      <c r="L52" s="7">
        <f>(I52+4*J52+K52)/6</f>
        <v/>
      </c>
      <c r="M52" s="7">
        <f>(K52-I52)/6</f>
        <v/>
      </c>
      <c r="N52" s="5" t="n"/>
      <c r="O52" s="5" t="n"/>
      <c r="P52" s="5" t="n"/>
      <c r="Q52" s="5" t="n"/>
      <c r="R52" s="5" t="n"/>
      <c r="S52" s="7">
        <f>SUM(S53:S54)</f>
        <v/>
      </c>
    </row>
    <row r="53">
      <c r="A53" s="8" t="inlineStr">
        <is>
          <t>7.1.1</t>
        </is>
      </c>
      <c r="B53" s="8" t="n"/>
      <c r="C53" s="8" t="n"/>
      <c r="D53" s="8" t="inlineStr">
        <is>
          <t>Training curriculum design and role-based learning paths</t>
        </is>
      </c>
      <c r="E53" s="9" t="n">
        <v>4</v>
      </c>
      <c r="F53" s="9" t="n">
        <v>5</v>
      </c>
      <c r="G53" s="9" t="n">
        <v>8</v>
      </c>
      <c r="H53" s="10">
        <f>(E53+4*F53+G53)/6</f>
        <v/>
      </c>
      <c r="I53" s="9" t="n">
        <v>4</v>
      </c>
      <c r="J53" s="9" t="n">
        <v>5</v>
      </c>
      <c r="K53" s="9" t="n">
        <v>8</v>
      </c>
      <c r="L53" s="10">
        <f>(I53+4*J53+K53)/6</f>
        <v/>
      </c>
      <c r="M53" s="10">
        <f>(K53-I53)/6</f>
        <v/>
      </c>
      <c r="N53" s="8" t="inlineStr">
        <is>
          <t>TRN, BDM</t>
        </is>
      </c>
      <c r="O53" s="8" t="inlineStr">
        <is>
          <t>3.2.1</t>
        </is>
      </c>
      <c r="P53" s="8" t="inlineStr">
        <is>
          <t>R12</t>
        </is>
      </c>
      <c r="Q53" s="8" t="inlineStr"/>
      <c r="R53" s="8" t="inlineStr">
        <is>
          <t>Y</t>
        </is>
      </c>
      <c r="S53" s="10">
        <f>IF(R53="Y",H53,0)</f>
        <v/>
      </c>
    </row>
    <row r="54">
      <c r="A54" s="8" t="inlineStr">
        <is>
          <t>7.1.2</t>
        </is>
      </c>
      <c r="B54" s="8" t="n"/>
      <c r="C54" s="8" t="n"/>
      <c r="D54" s="8" t="inlineStr">
        <is>
          <t>eLearning modules and process simulations</t>
        </is>
      </c>
      <c r="E54" s="9" t="n">
        <v>6</v>
      </c>
      <c r="F54" s="9" t="n">
        <v>9</v>
      </c>
      <c r="G54" s="9" t="n">
        <v>13</v>
      </c>
      <c r="H54" s="10">
        <f>(E54+4*F54+G54)/6</f>
        <v/>
      </c>
      <c r="I54" s="9" t="n">
        <v>6</v>
      </c>
      <c r="J54" s="9" t="n">
        <v>9</v>
      </c>
      <c r="K54" s="9" t="n">
        <v>13</v>
      </c>
      <c r="L54" s="10">
        <f>(I54+4*J54+K54)/6</f>
        <v/>
      </c>
      <c r="M54" s="10">
        <f>(K54-I54)/6</f>
        <v/>
      </c>
      <c r="N54" s="8" t="inlineStr">
        <is>
          <t>TRN</t>
        </is>
      </c>
      <c r="O54" s="8" t="inlineStr">
        <is>
          <t>7.1.1</t>
        </is>
      </c>
      <c r="P54" s="8" t="inlineStr">
        <is>
          <t>R12</t>
        </is>
      </c>
      <c r="Q54" s="8" t="inlineStr"/>
      <c r="R54" s="8" t="inlineStr">
        <is>
          <t>Y</t>
        </is>
      </c>
      <c r="S54" s="10">
        <f>IF(R54="Y",H54,0)</f>
        <v/>
      </c>
    </row>
    <row r="55">
      <c r="A55" s="5" t="inlineStr">
        <is>
          <t>7.2</t>
        </is>
      </c>
      <c r="B55" s="5" t="n"/>
      <c r="C55" s="5" t="inlineStr">
        <is>
          <t>Training Delivery</t>
        </is>
      </c>
      <c r="D55" s="5" t="n"/>
      <c r="E55" s="6">
        <f>SUM(E56:E57)</f>
        <v/>
      </c>
      <c r="F55" s="6">
        <f>SUM(F56:F57)</f>
        <v/>
      </c>
      <c r="G55" s="6">
        <f>SUM(G56:G57)</f>
        <v/>
      </c>
      <c r="H55" s="7">
        <f>(E55+4*F55+G55)/6</f>
        <v/>
      </c>
      <c r="I55" s="6">
        <f>SUM(I56:I57)</f>
        <v/>
      </c>
      <c r="J55" s="6">
        <f>SUM(J56:J57)</f>
        <v/>
      </c>
      <c r="K55" s="6">
        <f>SUM(K56:K57)</f>
        <v/>
      </c>
      <c r="L55" s="7">
        <f>(I55+4*J55+K55)/6</f>
        <v/>
      </c>
      <c r="M55" s="7">
        <f>(K55-I55)/6</f>
        <v/>
      </c>
      <c r="N55" s="5" t="n"/>
      <c r="O55" s="5" t="n"/>
      <c r="P55" s="5" t="n"/>
      <c r="Q55" s="5" t="n"/>
      <c r="R55" s="5" t="n"/>
      <c r="S55" s="7">
        <f>SUM(S56:S57)</f>
        <v/>
      </c>
    </row>
    <row r="56">
      <c r="A56" s="8" t="inlineStr">
        <is>
          <t>7.2.1</t>
        </is>
      </c>
      <c r="B56" s="8" t="n"/>
      <c r="C56" s="8" t="n"/>
      <c r="D56" s="8" t="inlineStr">
        <is>
          <t>Train-the-trainer sessions (super-users)</t>
        </is>
      </c>
      <c r="E56" s="9" t="n">
        <v>4</v>
      </c>
      <c r="F56" s="9" t="n">
        <v>5</v>
      </c>
      <c r="G56" s="9" t="n">
        <v>7</v>
      </c>
      <c r="H56" s="10">
        <f>(E56+4*F56+G56)/6</f>
        <v/>
      </c>
      <c r="I56" s="9" t="n">
        <v>4</v>
      </c>
      <c r="J56" s="9" t="n">
        <v>5</v>
      </c>
      <c r="K56" s="9" t="n">
        <v>7</v>
      </c>
      <c r="L56" s="10">
        <f>(I56+4*J56+K56)/6</f>
        <v/>
      </c>
      <c r="M56" s="10">
        <f>(K56-I56)/6</f>
        <v/>
      </c>
      <c r="N56" s="8" t="inlineStr">
        <is>
          <t>TRN, SAP</t>
        </is>
      </c>
      <c r="O56" s="8" t="inlineStr">
        <is>
          <t>7.1.2</t>
        </is>
      </c>
      <c r="P56" s="8" t="inlineStr">
        <is>
          <t>R06</t>
        </is>
      </c>
      <c r="Q56" s="8" t="inlineStr"/>
      <c r="R56" s="8" t="inlineStr">
        <is>
          <t>Y</t>
        </is>
      </c>
      <c r="S56" s="10">
        <f>IF(R56="Y",H56,0)</f>
        <v/>
      </c>
    </row>
    <row r="57">
      <c r="A57" s="8" t="inlineStr">
        <is>
          <t>7.2.2</t>
        </is>
      </c>
      <c r="B57" s="8" t="n"/>
      <c r="C57" s="8" t="n"/>
      <c r="D57" s="8" t="inlineStr">
        <is>
          <t>End-user classroom and virtual training sessions</t>
        </is>
      </c>
      <c r="E57" s="9" t="n">
        <v>6</v>
      </c>
      <c r="F57" s="9" t="n">
        <v>8</v>
      </c>
      <c r="G57" s="9" t="n">
        <v>12</v>
      </c>
      <c r="H57" s="10">
        <f>(E57+4*F57+G57)/6</f>
        <v/>
      </c>
      <c r="I57" s="9" t="n">
        <v>6</v>
      </c>
      <c r="J57" s="9" t="n">
        <v>8</v>
      </c>
      <c r="K57" s="9" t="n">
        <v>12</v>
      </c>
      <c r="L57" s="10">
        <f>(I57+4*J57+K57)/6</f>
        <v/>
      </c>
      <c r="M57" s="10">
        <f>(K57-I57)/6</f>
        <v/>
      </c>
      <c r="N57" s="8" t="inlineStr">
        <is>
          <t>TRN</t>
        </is>
      </c>
      <c r="O57" s="8" t="inlineStr">
        <is>
          <t>7.2.1</t>
        </is>
      </c>
      <c r="P57" s="8" t="inlineStr">
        <is>
          <t>R06</t>
        </is>
      </c>
      <c r="Q57" s="8" t="inlineStr"/>
      <c r="R57" s="8" t="inlineStr">
        <is>
          <t>Y</t>
        </is>
      </c>
      <c r="S57" s="10">
        <f>IF(R57="Y",H57,0)</f>
        <v/>
      </c>
    </row>
    <row r="58">
      <c r="A58" s="2" t="inlineStr">
        <is>
          <t>8</t>
        </is>
      </c>
      <c r="B58" s="2" t="inlineStr">
        <is>
          <t>Go-Live &amp; Stabilisation</t>
        </is>
      </c>
      <c r="C58" s="2" t="n"/>
      <c r="D58" s="2" t="n"/>
      <c r="E58" s="3">
        <f>SUM(E60,E61,E62,E64,E65)</f>
        <v/>
      </c>
      <c r="F58" s="3">
        <f>SUM(F60,F61,F62,F64,F65)</f>
        <v/>
      </c>
      <c r="G58" s="3">
        <f>SUM(G60,G61,G62,G64,G65)</f>
        <v/>
      </c>
      <c r="H58" s="4">
        <f>(E58+4*F58+G58)/6</f>
        <v/>
      </c>
      <c r="I58" s="3">
        <f>SUM(I60,I61,I62,I64,I65)</f>
        <v/>
      </c>
      <c r="J58" s="3">
        <f>SUM(J60,J61,J62,J64,J65)</f>
        <v/>
      </c>
      <c r="K58" s="3">
        <f>SUM(K60,K61,K62,K64,K65)</f>
        <v/>
      </c>
      <c r="L58" s="4">
        <f>(I58+4*J58+K58)/6</f>
        <v/>
      </c>
      <c r="M58" s="4">
        <f>(K58-I58)/6</f>
        <v/>
      </c>
      <c r="N58" s="2" t="n"/>
      <c r="O58" s="2" t="n"/>
      <c r="P58" s="2" t="n"/>
      <c r="Q58" s="2" t="n"/>
      <c r="R58" s="2" t="n"/>
      <c r="S58" s="4">
        <f>SUM(S60,S61,S62,S64,S65)</f>
        <v/>
      </c>
    </row>
    <row r="59">
      <c r="A59" s="5" t="inlineStr">
        <is>
          <t>8.1</t>
        </is>
      </c>
      <c r="B59" s="5" t="n"/>
      <c r="C59" s="5" t="inlineStr">
        <is>
          <t>Cutover Execution</t>
        </is>
      </c>
      <c r="D59" s="5" t="n"/>
      <c r="E59" s="6">
        <f>SUM(E60:E62)</f>
        <v/>
      </c>
      <c r="F59" s="6">
        <f>SUM(F60:F62)</f>
        <v/>
      </c>
      <c r="G59" s="6">
        <f>SUM(G60:G62)</f>
        <v/>
      </c>
      <c r="H59" s="7">
        <f>(E59+4*F59+G59)/6</f>
        <v/>
      </c>
      <c r="I59" s="6">
        <f>SUM(I60:I62)</f>
        <v/>
      </c>
      <c r="J59" s="6">
        <f>SUM(J60:J62)</f>
        <v/>
      </c>
      <c r="K59" s="6">
        <f>SUM(K60:K62)</f>
        <v/>
      </c>
      <c r="L59" s="7">
        <f>(I59+4*J59+K59)/6</f>
        <v/>
      </c>
      <c r="M59" s="7">
        <f>(K59-I59)/6</f>
        <v/>
      </c>
      <c r="N59" s="5" t="n"/>
      <c r="O59" s="5" t="n"/>
      <c r="P59" s="5" t="n"/>
      <c r="Q59" s="5" t="n"/>
      <c r="R59" s="5" t="n"/>
      <c r="S59" s="7">
        <f>SUM(S60:S62)</f>
        <v/>
      </c>
    </row>
    <row r="60">
      <c r="A60" s="8" t="inlineStr">
        <is>
          <t>8.1.1</t>
        </is>
      </c>
      <c r="B60" s="8" t="n"/>
      <c r="C60" s="8" t="n"/>
      <c r="D60" s="8" t="inlineStr">
        <is>
          <t>Final data migration (production cutover load)</t>
        </is>
      </c>
      <c r="E60" s="9" t="n">
        <v>5</v>
      </c>
      <c r="F60" s="9" t="n">
        <v>7</v>
      </c>
      <c r="G60" s="9" t="n">
        <v>12</v>
      </c>
      <c r="H60" s="10">
        <f>(E60+4*F60+G60)/6</f>
        <v/>
      </c>
      <c r="I60" s="9" t="n">
        <v>5</v>
      </c>
      <c r="J60" s="9" t="n">
        <v>7</v>
      </c>
      <c r="K60" s="9" t="n">
        <v>12</v>
      </c>
      <c r="L60" s="10">
        <f>(I60+4*J60+K60)/6</f>
        <v/>
      </c>
      <c r="M60" s="10">
        <f>(K60-I60)/6</f>
        <v/>
      </c>
      <c r="N60" s="8" t="inlineStr">
        <is>
          <t>DA, SAP</t>
        </is>
      </c>
      <c r="O60" s="8" t="inlineStr">
        <is>
          <t>4.2.3, 6.2.3</t>
        </is>
      </c>
      <c r="P60" s="8" t="inlineStr">
        <is>
          <t>R09, R02</t>
        </is>
      </c>
      <c r="Q60" s="8" t="inlineStr"/>
      <c r="R60" s="8" t="inlineStr">
        <is>
          <t>Y</t>
        </is>
      </c>
      <c r="S60" s="10">
        <f>IF(R60="Y",H60,0)</f>
        <v/>
      </c>
    </row>
    <row r="61">
      <c r="A61" s="8" t="inlineStr">
        <is>
          <t>8.1.2</t>
        </is>
      </c>
      <c r="B61" s="8" t="n"/>
      <c r="C61" s="8" t="n"/>
      <c r="D61" s="8" t="inlineStr">
        <is>
          <t>Go-live readiness checklist and sign-off</t>
        </is>
      </c>
      <c r="E61" s="9" t="n">
        <v>2</v>
      </c>
      <c r="F61" s="9" t="n">
        <v>3</v>
      </c>
      <c r="G61" s="9" t="n">
        <v>5</v>
      </c>
      <c r="H61" s="10">
        <f>(E61+4*F61+G61)/6</f>
        <v/>
      </c>
      <c r="I61" s="9" t="n">
        <v>2</v>
      </c>
      <c r="J61" s="9" t="n">
        <v>3</v>
      </c>
      <c r="K61" s="9" t="n">
        <v>5</v>
      </c>
      <c r="L61" s="10">
        <f>(I61+4*J61+K61)/6</f>
        <v/>
      </c>
      <c r="M61" s="10">
        <f>(K61-I61)/6</f>
        <v/>
      </c>
      <c r="N61" s="8" t="inlineStr">
        <is>
          <t>PMO, BDM</t>
        </is>
      </c>
      <c r="O61" s="8" t="inlineStr">
        <is>
          <t>8.1.1</t>
        </is>
      </c>
      <c r="P61" s="8" t="inlineStr"/>
      <c r="Q61" s="8" t="inlineStr"/>
      <c r="R61" s="8" t="inlineStr">
        <is>
          <t>Y</t>
        </is>
      </c>
      <c r="S61" s="10">
        <f>IF(R61="Y",H61,0)</f>
        <v/>
      </c>
    </row>
    <row r="62">
      <c r="A62" s="8" t="inlineStr">
        <is>
          <t>8.1.3</t>
        </is>
      </c>
      <c r="B62" s="8" t="n"/>
      <c r="C62" s="8" t="n"/>
      <c r="D62" s="8" t="inlineStr">
        <is>
          <t>Production system activation and hypercare</t>
        </is>
      </c>
      <c r="E62" s="9" t="n">
        <v>6</v>
      </c>
      <c r="F62" s="9" t="n">
        <v>8</v>
      </c>
      <c r="G62" s="9" t="n">
        <v>12</v>
      </c>
      <c r="H62" s="10">
        <f>(E62+4*F62+G62)/6</f>
        <v/>
      </c>
      <c r="I62" s="9" t="n">
        <v>6</v>
      </c>
      <c r="J62" s="9" t="n">
        <v>8</v>
      </c>
      <c r="K62" s="9" t="n">
        <v>12</v>
      </c>
      <c r="L62" s="10">
        <f>(I62+4*J62+K62)/6</f>
        <v/>
      </c>
      <c r="M62" s="10">
        <f>(K62-I62)/6</f>
        <v/>
      </c>
      <c r="N62" s="8" t="inlineStr">
        <is>
          <t>SAP, SRE</t>
        </is>
      </c>
      <c r="O62" s="8" t="inlineStr">
        <is>
          <t>8.1.2</t>
        </is>
      </c>
      <c r="P62" s="8" t="inlineStr">
        <is>
          <t>R04, R10</t>
        </is>
      </c>
      <c r="Q62" s="8" t="inlineStr">
        <is>
          <t>Two-week on-site hypercare team</t>
        </is>
      </c>
      <c r="R62" s="8" t="inlineStr">
        <is>
          <t>Y</t>
        </is>
      </c>
      <c r="S62" s="10">
        <f>IF(R62="Y",H62,0)</f>
        <v/>
      </c>
    </row>
    <row r="63">
      <c r="A63" s="5" t="inlineStr">
        <is>
          <t>8.2</t>
        </is>
      </c>
      <c r="B63" s="5" t="n"/>
      <c r="C63" s="5" t="inlineStr">
        <is>
          <t>Post Go-Live Support</t>
        </is>
      </c>
      <c r="D63" s="5" t="n"/>
      <c r="E63" s="6">
        <f>SUM(E64:E65)</f>
        <v/>
      </c>
      <c r="F63" s="6">
        <f>SUM(F64:F65)</f>
        <v/>
      </c>
      <c r="G63" s="6">
        <f>SUM(G64:G65)</f>
        <v/>
      </c>
      <c r="H63" s="7">
        <f>(E63+4*F63+G63)/6</f>
        <v/>
      </c>
      <c r="I63" s="6">
        <f>SUM(I64:I65)</f>
        <v/>
      </c>
      <c r="J63" s="6">
        <f>SUM(J64:J65)</f>
        <v/>
      </c>
      <c r="K63" s="6">
        <f>SUM(K64:K65)</f>
        <v/>
      </c>
      <c r="L63" s="7">
        <f>(I63+4*J63+K63)/6</f>
        <v/>
      </c>
      <c r="M63" s="7">
        <f>(K63-I63)/6</f>
        <v/>
      </c>
      <c r="N63" s="5" t="n"/>
      <c r="O63" s="5" t="n"/>
      <c r="P63" s="5" t="n"/>
      <c r="Q63" s="5" t="n"/>
      <c r="R63" s="5" t="n"/>
      <c r="S63" s="7">
        <f>SUM(S64:S65)</f>
        <v/>
      </c>
    </row>
    <row r="64">
      <c r="A64" s="8" t="inlineStr">
        <is>
          <t>8.2.1</t>
        </is>
      </c>
      <c r="B64" s="8" t="n"/>
      <c r="C64" s="8" t="n"/>
      <c r="D64" s="8" t="inlineStr">
        <is>
          <t>Hypercare support (2 weeks on-site)</t>
        </is>
      </c>
      <c r="E64" s="9" t="n">
        <v>6</v>
      </c>
      <c r="F64" s="9" t="n">
        <v>8</v>
      </c>
      <c r="G64" s="9" t="n">
        <v>12</v>
      </c>
      <c r="H64" s="10">
        <f>(E64+4*F64+G64)/6</f>
        <v/>
      </c>
      <c r="I64" s="9" t="n">
        <v>6</v>
      </c>
      <c r="J64" s="9" t="n">
        <v>8</v>
      </c>
      <c r="K64" s="9" t="n">
        <v>12</v>
      </c>
      <c r="L64" s="10">
        <f>(I64+4*J64+K64)/6</f>
        <v/>
      </c>
      <c r="M64" s="10">
        <f>(K64-I64)/6</f>
        <v/>
      </c>
      <c r="N64" s="8" t="inlineStr">
        <is>
          <t>SAP, SRE</t>
        </is>
      </c>
      <c r="O64" s="8" t="inlineStr">
        <is>
          <t>8.1.3</t>
        </is>
      </c>
      <c r="P64" s="8" t="inlineStr"/>
      <c r="Q64" s="8" t="inlineStr"/>
      <c r="R64" s="8" t="inlineStr">
        <is>
          <t>Y</t>
        </is>
      </c>
      <c r="S64" s="10">
        <f>IF(R64="Y",H64,0)</f>
        <v/>
      </c>
    </row>
    <row r="65">
      <c r="A65" s="8" t="inlineStr">
        <is>
          <t>8.2.2</t>
        </is>
      </c>
      <c r="B65" s="8" t="n"/>
      <c r="C65" s="8" t="n"/>
      <c r="D65" s="8" t="inlineStr">
        <is>
          <t>Knowledge handover and operational documentation</t>
        </is>
      </c>
      <c r="E65" s="9" t="n">
        <v>3</v>
      </c>
      <c r="F65" s="9" t="n">
        <v>4</v>
      </c>
      <c r="G65" s="9" t="n">
        <v>6</v>
      </c>
      <c r="H65" s="10">
        <f>(E65+4*F65+G65)/6</f>
        <v/>
      </c>
      <c r="I65" s="9" t="n">
        <v>3</v>
      </c>
      <c r="J65" s="9" t="n">
        <v>4</v>
      </c>
      <c r="K65" s="9" t="n">
        <v>6</v>
      </c>
      <c r="L65" s="10">
        <f>(I65+4*J65+K65)/6</f>
        <v/>
      </c>
      <c r="M65" s="10">
        <f>(K65-I65)/6</f>
        <v/>
      </c>
      <c r="N65" s="8" t="inlineStr">
        <is>
          <t>PMO, SRE</t>
        </is>
      </c>
      <c r="O65" s="8" t="inlineStr">
        <is>
          <t>8.2.1</t>
        </is>
      </c>
      <c r="P65" s="8" t="inlineStr"/>
      <c r="Q65" s="8" t="inlineStr"/>
      <c r="R65" s="8" t="inlineStr">
        <is>
          <t>Y</t>
        </is>
      </c>
      <c r="S65" s="10">
        <f>IF(R65="Y",H65,0)</f>
        <v/>
      </c>
    </row>
    <row r="66">
      <c r="A66" s="11" t="inlineStr">
        <is>
          <t>TOTAL</t>
        </is>
      </c>
      <c r="B66" s="11" t="n"/>
      <c r="C66" s="11" t="n"/>
      <c r="D66" s="11" t="n"/>
      <c r="E66" s="12">
        <f>SUM(E2,E10,E18,E26,E34,E42,E51,E58)</f>
        <v/>
      </c>
      <c r="F66" s="12">
        <f>SUM(F2,F10,F18,F26,F34,F42,F51,F58)</f>
        <v/>
      </c>
      <c r="G66" s="12">
        <f>SUM(G2,G10,G18,G26,G34,G42,G51,G58)</f>
        <v/>
      </c>
      <c r="H66" s="13">
        <f>SUM(H2,H10,H18,H26,H34,H42,H51,H58)</f>
        <v/>
      </c>
      <c r="I66" s="12">
        <f>SUM(I2,I10,I18,I26,I34,I42,I51,I58)</f>
        <v/>
      </c>
      <c r="J66" s="12">
        <f>SUM(J2,J10,J18,J26,J34,J42,J51,J58)</f>
        <v/>
      </c>
      <c r="K66" s="12">
        <f>SUM(K2,K10,K18,K26,K34,K42,K51,K58)</f>
        <v/>
      </c>
      <c r="L66" s="13">
        <f>SUM(L2,L10,L18,L26,L34,L42,L51,L58)</f>
        <v/>
      </c>
      <c r="M66" s="13">
        <f>SUM(M2,M10,M18,M26,M34,M42,M51,M58)</f>
        <v/>
      </c>
      <c r="N66" s="11" t="n"/>
      <c r="O66" s="11" t="n"/>
      <c r="P66" s="11" t="n"/>
      <c r="Q66" s="11" t="n"/>
      <c r="R66" s="11" t="n"/>
      <c r="S66" s="13">
        <f>SUM(S2,S10,S18,S26,S34,S42,S51,S58)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4" customWidth="1" min="59" max="59"/>
  </cols>
  <sheetData>
    <row r="1">
      <c r="A1" s="1" t="inlineStr">
        <is>
          <t>Role</t>
        </is>
      </c>
      <c r="B1" s="1" t="inlineStr">
        <is>
          <t>Code</t>
        </is>
      </c>
      <c r="C1" s="1" t="inlineStr">
        <is>
          <t>Type</t>
        </is>
      </c>
      <c r="D1" s="14" t="inlineStr">
        <is>
          <t>W1</t>
        </is>
      </c>
      <c r="E1" s="14" t="inlineStr">
        <is>
          <t>W2</t>
        </is>
      </c>
      <c r="F1" s="14" t="inlineStr">
        <is>
          <t>W3</t>
        </is>
      </c>
      <c r="G1" s="14" t="inlineStr">
        <is>
          <t>W4</t>
        </is>
      </c>
      <c r="H1" s="14" t="inlineStr">
        <is>
          <t>W5</t>
        </is>
      </c>
      <c r="I1" s="14" t="inlineStr">
        <is>
          <t>W6</t>
        </is>
      </c>
      <c r="J1" s="14" t="inlineStr">
        <is>
          <t>W7</t>
        </is>
      </c>
      <c r="K1" s="14" t="inlineStr">
        <is>
          <t>W8</t>
        </is>
      </c>
      <c r="L1" s="14" t="inlineStr">
        <is>
          <t>W9</t>
        </is>
      </c>
      <c r="M1" s="14" t="inlineStr">
        <is>
          <t>W10</t>
        </is>
      </c>
      <c r="N1" s="14" t="inlineStr">
        <is>
          <t>W11</t>
        </is>
      </c>
      <c r="O1" s="14" t="inlineStr">
        <is>
          <t>W12</t>
        </is>
      </c>
      <c r="P1" s="14" t="inlineStr">
        <is>
          <t>W13</t>
        </is>
      </c>
      <c r="Q1" s="14" t="inlineStr">
        <is>
          <t>W14</t>
        </is>
      </c>
      <c r="R1" s="14" t="inlineStr">
        <is>
          <t>W15</t>
        </is>
      </c>
      <c r="S1" s="14" t="inlineStr">
        <is>
          <t>W16</t>
        </is>
      </c>
      <c r="T1" s="14" t="inlineStr">
        <is>
          <t>W17</t>
        </is>
      </c>
      <c r="U1" s="14" t="inlineStr">
        <is>
          <t>W18</t>
        </is>
      </c>
      <c r="V1" s="14" t="inlineStr">
        <is>
          <t>W19</t>
        </is>
      </c>
      <c r="W1" s="14" t="inlineStr">
        <is>
          <t>W20</t>
        </is>
      </c>
      <c r="X1" s="14" t="inlineStr">
        <is>
          <t>W21</t>
        </is>
      </c>
      <c r="Y1" s="14" t="inlineStr">
        <is>
          <t>W22</t>
        </is>
      </c>
      <c r="Z1" s="14" t="inlineStr">
        <is>
          <t>W23</t>
        </is>
      </c>
      <c r="AA1" s="14" t="inlineStr">
        <is>
          <t>W24</t>
        </is>
      </c>
      <c r="AB1" s="14" t="inlineStr">
        <is>
          <t>W25</t>
        </is>
      </c>
      <c r="AC1" s="14" t="inlineStr">
        <is>
          <t>W26</t>
        </is>
      </c>
      <c r="AD1" s="14" t="inlineStr">
        <is>
          <t>W27</t>
        </is>
      </c>
      <c r="AE1" s="14" t="inlineStr">
        <is>
          <t>W28</t>
        </is>
      </c>
      <c r="AF1" s="14" t="inlineStr">
        <is>
          <t>W29</t>
        </is>
      </c>
      <c r="AG1" s="14" t="inlineStr">
        <is>
          <t>W30</t>
        </is>
      </c>
      <c r="AH1" s="14" t="inlineStr">
        <is>
          <t>W31</t>
        </is>
      </c>
      <c r="AI1" s="14" t="inlineStr">
        <is>
          <t>W32</t>
        </is>
      </c>
      <c r="AJ1" s="14" t="inlineStr">
        <is>
          <t>W33</t>
        </is>
      </c>
      <c r="AK1" s="14" t="inlineStr">
        <is>
          <t>W34</t>
        </is>
      </c>
      <c r="AL1" s="14" t="inlineStr">
        <is>
          <t>W35</t>
        </is>
      </c>
      <c r="AM1" s="14" t="inlineStr">
        <is>
          <t>W36</t>
        </is>
      </c>
      <c r="AN1" s="14" t="inlineStr">
        <is>
          <t>W37</t>
        </is>
      </c>
      <c r="AO1" s="14" t="inlineStr">
        <is>
          <t>W38</t>
        </is>
      </c>
      <c r="AP1" s="14" t="inlineStr">
        <is>
          <t>W39</t>
        </is>
      </c>
      <c r="AQ1" s="14" t="inlineStr">
        <is>
          <t>W40</t>
        </is>
      </c>
      <c r="AR1" s="14" t="inlineStr">
        <is>
          <t>W41</t>
        </is>
      </c>
      <c r="AS1" s="14" t="inlineStr">
        <is>
          <t>W42</t>
        </is>
      </c>
      <c r="AT1" s="14" t="inlineStr">
        <is>
          <t>W43</t>
        </is>
      </c>
      <c r="AU1" s="14" t="inlineStr">
        <is>
          <t>W44</t>
        </is>
      </c>
      <c r="AV1" s="14" t="inlineStr">
        <is>
          <t>W45</t>
        </is>
      </c>
      <c r="AW1" s="14" t="inlineStr">
        <is>
          <t>W46</t>
        </is>
      </c>
      <c r="AX1" s="14" t="inlineStr">
        <is>
          <t>W47</t>
        </is>
      </c>
      <c r="AY1" s="14" t="inlineStr">
        <is>
          <t>W48</t>
        </is>
      </c>
      <c r="AZ1" s="14" t="inlineStr">
        <is>
          <t>W49</t>
        </is>
      </c>
      <c r="BA1" s="14" t="inlineStr">
        <is>
          <t>W50</t>
        </is>
      </c>
      <c r="BB1" s="14" t="inlineStr">
        <is>
          <t>W51</t>
        </is>
      </c>
      <c r="BC1" s="14" t="inlineStr">
        <is>
          <t>W52</t>
        </is>
      </c>
      <c r="BD1" s="14" t="inlineStr">
        <is>
          <t>W53</t>
        </is>
      </c>
      <c r="BE1" s="14" t="inlineStr">
        <is>
          <t>W54</t>
        </is>
      </c>
      <c r="BF1" s="14" t="inlineStr">
        <is>
          <t>W55</t>
        </is>
      </c>
      <c r="BG1" s="1" t="inlineStr">
        <is>
          <t>TOTAL (PD)</t>
        </is>
      </c>
    </row>
    <row r="2">
      <c r="C2" s="15" t="inlineStr">
        <is>
          <t>Week of</t>
        </is>
      </c>
      <c r="D2" s="15" t="inlineStr">
        <is>
          <t>2026-06-01</t>
        </is>
      </c>
      <c r="E2" s="15" t="inlineStr">
        <is>
          <t>2026-06-08</t>
        </is>
      </c>
      <c r="F2" s="15" t="inlineStr">
        <is>
          <t>2026-06-15</t>
        </is>
      </c>
      <c r="G2" s="15" t="inlineStr">
        <is>
          <t>2026-06-22</t>
        </is>
      </c>
      <c r="H2" s="15" t="inlineStr">
        <is>
          <t>2026-06-29</t>
        </is>
      </c>
      <c r="I2" s="15" t="inlineStr">
        <is>
          <t>2026-07-06</t>
        </is>
      </c>
      <c r="J2" s="15" t="inlineStr">
        <is>
          <t>2026-07-13</t>
        </is>
      </c>
      <c r="K2" s="15" t="inlineStr">
        <is>
          <t>2026-07-20</t>
        </is>
      </c>
      <c r="L2" s="15" t="inlineStr">
        <is>
          <t>2026-07-27</t>
        </is>
      </c>
      <c r="M2" s="15" t="inlineStr">
        <is>
          <t>2026-08-03</t>
        </is>
      </c>
      <c r="N2" s="15" t="inlineStr">
        <is>
          <t>2026-08-10</t>
        </is>
      </c>
      <c r="O2" s="15" t="inlineStr">
        <is>
          <t>2026-08-17</t>
        </is>
      </c>
      <c r="P2" s="15" t="inlineStr">
        <is>
          <t>2026-08-24</t>
        </is>
      </c>
      <c r="Q2" s="15" t="inlineStr">
        <is>
          <t>2026-08-31</t>
        </is>
      </c>
      <c r="R2" s="15" t="inlineStr">
        <is>
          <t>2026-09-07</t>
        </is>
      </c>
      <c r="S2" s="15" t="inlineStr">
        <is>
          <t>2026-09-14</t>
        </is>
      </c>
      <c r="T2" s="15" t="inlineStr">
        <is>
          <t>2026-09-21</t>
        </is>
      </c>
      <c r="U2" s="15" t="inlineStr">
        <is>
          <t>2026-09-28</t>
        </is>
      </c>
      <c r="V2" s="15" t="inlineStr">
        <is>
          <t>2026-10-05</t>
        </is>
      </c>
      <c r="W2" s="15" t="inlineStr">
        <is>
          <t>2026-10-12</t>
        </is>
      </c>
      <c r="X2" s="15" t="inlineStr">
        <is>
          <t>2026-10-19</t>
        </is>
      </c>
      <c r="Y2" s="15" t="inlineStr">
        <is>
          <t>2026-10-26</t>
        </is>
      </c>
      <c r="Z2" s="15" t="inlineStr">
        <is>
          <t>2026-11-02</t>
        </is>
      </c>
      <c r="AA2" s="15" t="inlineStr">
        <is>
          <t>2026-11-09</t>
        </is>
      </c>
      <c r="AB2" s="15" t="inlineStr">
        <is>
          <t>2026-11-16</t>
        </is>
      </c>
      <c r="AC2" s="15" t="inlineStr">
        <is>
          <t>2026-11-23</t>
        </is>
      </c>
      <c r="AD2" s="15" t="inlineStr">
        <is>
          <t>2026-11-30</t>
        </is>
      </c>
      <c r="AE2" s="15" t="inlineStr">
        <is>
          <t>2026-12-07</t>
        </is>
      </c>
      <c r="AF2" s="15" t="inlineStr">
        <is>
          <t>2026-12-14</t>
        </is>
      </c>
      <c r="AG2" s="15" t="inlineStr">
        <is>
          <t>2026-12-21</t>
        </is>
      </c>
      <c r="AH2" s="15" t="inlineStr">
        <is>
          <t>2026-12-28</t>
        </is>
      </c>
      <c r="AI2" s="15" t="inlineStr">
        <is>
          <t>2027-01-04</t>
        </is>
      </c>
      <c r="AJ2" s="15" t="inlineStr">
        <is>
          <t>2027-01-11</t>
        </is>
      </c>
      <c r="AK2" s="15" t="inlineStr">
        <is>
          <t>2027-01-18</t>
        </is>
      </c>
      <c r="AL2" s="15" t="inlineStr">
        <is>
          <t>2027-01-25</t>
        </is>
      </c>
      <c r="AM2" s="15" t="inlineStr">
        <is>
          <t>2027-02-01</t>
        </is>
      </c>
      <c r="AN2" s="15" t="inlineStr">
        <is>
          <t>2027-02-08</t>
        </is>
      </c>
      <c r="AO2" s="15" t="inlineStr">
        <is>
          <t>2027-02-15</t>
        </is>
      </c>
      <c r="AP2" s="15" t="inlineStr">
        <is>
          <t>2027-02-22</t>
        </is>
      </c>
      <c r="AQ2" s="15" t="inlineStr">
        <is>
          <t>2027-03-01</t>
        </is>
      </c>
      <c r="AR2" s="15" t="inlineStr">
        <is>
          <t>2027-03-08</t>
        </is>
      </c>
      <c r="AS2" s="15" t="inlineStr">
        <is>
          <t>2027-03-15</t>
        </is>
      </c>
      <c r="AT2" s="15" t="inlineStr">
        <is>
          <t>2027-03-22</t>
        </is>
      </c>
      <c r="AU2" s="15" t="inlineStr">
        <is>
          <t>2027-03-29</t>
        </is>
      </c>
      <c r="AV2" s="15" t="inlineStr">
        <is>
          <t>2027-04-05</t>
        </is>
      </c>
      <c r="AW2" s="15" t="inlineStr">
        <is>
          <t>2027-04-12</t>
        </is>
      </c>
      <c r="AX2" s="15" t="inlineStr">
        <is>
          <t>2027-04-19</t>
        </is>
      </c>
      <c r="AY2" s="15" t="inlineStr">
        <is>
          <t>2027-04-26</t>
        </is>
      </c>
      <c r="AZ2" s="15" t="inlineStr">
        <is>
          <t>2027-05-03</t>
        </is>
      </c>
      <c r="BA2" s="15" t="inlineStr">
        <is>
          <t>2027-05-10</t>
        </is>
      </c>
      <c r="BB2" s="15" t="inlineStr">
        <is>
          <t>2027-05-17</t>
        </is>
      </c>
      <c r="BC2" s="15" t="inlineStr">
        <is>
          <t>2027-05-24</t>
        </is>
      </c>
      <c r="BD2" s="15" t="inlineStr">
        <is>
          <t>2027-05-31</t>
        </is>
      </c>
      <c r="BE2" s="15" t="inlineStr">
        <is>
          <t>2027-06-07</t>
        </is>
      </c>
      <c r="BF2" s="15" t="inlineStr">
        <is>
          <t>2027-06-14</t>
        </is>
      </c>
    </row>
    <row r="3">
      <c r="A3" t="inlineStr">
        <is>
          <t>Business Design Manager</t>
        </is>
      </c>
      <c r="B3" t="inlineStr">
        <is>
          <t>BDM</t>
        </is>
      </c>
      <c r="C3" t="inlineStr">
        <is>
          <t>billable</t>
        </is>
      </c>
      <c r="D3" s="16" t="n">
        <v>0</v>
      </c>
      <c r="E3" s="16" t="n">
        <v>0</v>
      </c>
      <c r="F3" s="16" t="n">
        <v>0</v>
      </c>
      <c r="G3" s="16" t="n">
        <v>0</v>
      </c>
      <c r="H3" s="16" t="n">
        <v>3.42</v>
      </c>
      <c r="I3" s="16" t="n">
        <v>3.42</v>
      </c>
      <c r="J3" s="16" t="n">
        <v>3.42</v>
      </c>
      <c r="K3" s="16" t="n">
        <v>3.42</v>
      </c>
      <c r="L3" s="16" t="n">
        <v>3.42</v>
      </c>
      <c r="M3" s="16" t="n">
        <v>3.42</v>
      </c>
      <c r="N3" s="16" t="n">
        <v>3.25</v>
      </c>
      <c r="O3" s="16" t="n">
        <v>3.25</v>
      </c>
      <c r="P3" s="16" t="n">
        <v>3.25</v>
      </c>
      <c r="Q3" s="16" t="n">
        <v>3.25</v>
      </c>
      <c r="R3" s="16" t="n">
        <v>3.25</v>
      </c>
      <c r="S3" s="16" t="n">
        <v>3.25</v>
      </c>
      <c r="T3" s="16" t="n">
        <v>0</v>
      </c>
      <c r="U3" s="16" t="n">
        <v>0</v>
      </c>
      <c r="V3" s="16" t="n">
        <v>0</v>
      </c>
      <c r="W3" s="16" t="n">
        <v>0</v>
      </c>
      <c r="X3" s="16" t="n">
        <v>0</v>
      </c>
      <c r="Y3" s="16" t="n">
        <v>0</v>
      </c>
      <c r="Z3" s="16" t="n">
        <v>0</v>
      </c>
      <c r="AA3" s="16" t="n">
        <v>0</v>
      </c>
      <c r="AB3" s="16" t="n">
        <v>0</v>
      </c>
      <c r="AC3" s="16" t="n">
        <v>0</v>
      </c>
      <c r="AD3" s="16" t="n">
        <v>0</v>
      </c>
      <c r="AE3" s="16" t="n">
        <v>0</v>
      </c>
      <c r="AF3" s="16" t="n">
        <v>0</v>
      </c>
      <c r="AG3" s="16" t="n">
        <v>0</v>
      </c>
      <c r="AH3" s="16" t="n">
        <v>0</v>
      </c>
      <c r="AI3" s="16" t="n">
        <v>0</v>
      </c>
      <c r="AJ3" s="16" t="n">
        <v>0</v>
      </c>
      <c r="AK3" s="16" t="n">
        <v>0</v>
      </c>
      <c r="AL3" s="16" t="n">
        <v>0</v>
      </c>
      <c r="AM3" s="16" t="n">
        <v>0</v>
      </c>
      <c r="AN3" s="16" t="n">
        <v>1.74</v>
      </c>
      <c r="AO3" s="16" t="n">
        <v>1.74</v>
      </c>
      <c r="AP3" s="16" t="n">
        <v>1.74</v>
      </c>
      <c r="AQ3" s="16" t="n">
        <v>1.74</v>
      </c>
      <c r="AR3" s="16" t="n">
        <v>1.74</v>
      </c>
      <c r="AS3" s="16" t="n">
        <v>1.74</v>
      </c>
      <c r="AT3" s="16" t="n">
        <v>1.74</v>
      </c>
      <c r="AU3" s="16" t="n">
        <v>1.74</v>
      </c>
      <c r="AV3" s="16" t="n">
        <v>1.74</v>
      </c>
      <c r="AW3" s="16" t="n">
        <v>0</v>
      </c>
      <c r="AX3" s="16" t="n">
        <v>0</v>
      </c>
      <c r="AY3" s="16" t="n">
        <v>0</v>
      </c>
      <c r="AZ3" s="16" t="n">
        <v>0</v>
      </c>
      <c r="BA3" s="16" t="n">
        <v>0</v>
      </c>
      <c r="BB3" s="16" t="n">
        <v>0</v>
      </c>
      <c r="BC3" s="16" t="n">
        <v>0</v>
      </c>
      <c r="BD3" s="16" t="n">
        <v>0</v>
      </c>
      <c r="BE3" s="16" t="n">
        <v>0</v>
      </c>
      <c r="BF3" s="16" t="n">
        <v>0</v>
      </c>
      <c r="BG3" s="17">
        <f>SUM(D3:BF3)</f>
        <v/>
      </c>
    </row>
    <row r="4">
      <c r="A4" t="inlineStr">
        <is>
          <t>Data Architect</t>
        </is>
      </c>
      <c r="B4" t="inlineStr">
        <is>
          <t>DA</t>
        </is>
      </c>
      <c r="C4" t="inlineStr">
        <is>
          <t>billable</t>
        </is>
      </c>
      <c r="D4" s="16" t="n">
        <v>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0</v>
      </c>
      <c r="Q4" s="16" t="n">
        <v>0</v>
      </c>
      <c r="R4" s="16" t="n">
        <v>0</v>
      </c>
      <c r="S4" s="16" t="n">
        <v>0</v>
      </c>
      <c r="T4" s="18" t="n">
        <v>5</v>
      </c>
      <c r="U4" s="18" t="n">
        <v>5</v>
      </c>
      <c r="V4" s="18" t="n">
        <v>5</v>
      </c>
      <c r="W4" s="18" t="n">
        <v>5</v>
      </c>
      <c r="X4" s="18" t="n">
        <v>5</v>
      </c>
      <c r="Y4" s="18" t="n">
        <v>5</v>
      </c>
      <c r="Z4" s="18" t="n">
        <v>5</v>
      </c>
      <c r="AA4" s="18" t="n">
        <v>5</v>
      </c>
      <c r="AB4" s="18" t="n">
        <v>5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  <c r="AJ4" s="16" t="n">
        <v>0</v>
      </c>
      <c r="AK4" s="16" t="n">
        <v>0</v>
      </c>
      <c r="AL4" s="16" t="n">
        <v>0</v>
      </c>
      <c r="AM4" s="16" t="n">
        <v>0</v>
      </c>
      <c r="AN4" s="16" t="n">
        <v>0</v>
      </c>
      <c r="AO4" s="16" t="n">
        <v>0</v>
      </c>
      <c r="AP4" s="16" t="n">
        <v>0</v>
      </c>
      <c r="AQ4" s="16" t="n">
        <v>0</v>
      </c>
      <c r="AR4" s="16" t="n">
        <v>0</v>
      </c>
      <c r="AS4" s="16" t="n">
        <v>0</v>
      </c>
      <c r="AT4" s="16" t="n">
        <v>0</v>
      </c>
      <c r="AU4" s="16" t="n">
        <v>0</v>
      </c>
      <c r="AV4" s="16" t="n">
        <v>0</v>
      </c>
      <c r="AW4" s="16" t="n">
        <v>0</v>
      </c>
      <c r="AX4" s="16" t="n">
        <v>0</v>
      </c>
      <c r="AY4" s="16" t="n">
        <v>0</v>
      </c>
      <c r="AZ4" s="16" t="n">
        <v>0</v>
      </c>
      <c r="BA4" s="16" t="n">
        <v>0</v>
      </c>
      <c r="BB4" s="16" t="n">
        <v>0</v>
      </c>
      <c r="BC4" s="16" t="n">
        <v>1.88</v>
      </c>
      <c r="BD4" s="16" t="n">
        <v>1.88</v>
      </c>
      <c r="BE4" s="16" t="n">
        <v>1.88</v>
      </c>
      <c r="BF4" s="16" t="n">
        <v>1.88</v>
      </c>
      <c r="BG4" s="17">
        <f>SUM(D4:BF4)</f>
        <v/>
      </c>
    </row>
    <row r="5">
      <c r="A5" t="inlineStr">
        <is>
          <t>Project Management Officer</t>
        </is>
      </c>
      <c r="B5" t="inlineStr">
        <is>
          <t>PMO</t>
        </is>
      </c>
      <c r="C5" t="inlineStr">
        <is>
          <t>billable</t>
        </is>
      </c>
      <c r="D5" s="16" t="n">
        <v>1.79</v>
      </c>
      <c r="E5" s="16" t="n">
        <v>1.79</v>
      </c>
      <c r="F5" s="16" t="n">
        <v>1.79</v>
      </c>
      <c r="G5" s="16" t="n">
        <v>1.79</v>
      </c>
      <c r="H5" s="16" t="n">
        <v>0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1.83</v>
      </c>
      <c r="BD5" s="16" t="n">
        <v>1.83</v>
      </c>
      <c r="BE5" s="16" t="n">
        <v>1.83</v>
      </c>
      <c r="BF5" s="16" t="n">
        <v>1.83</v>
      </c>
      <c r="BG5" s="17">
        <f>SUM(D5:BF5)</f>
        <v/>
      </c>
    </row>
    <row r="6">
      <c r="A6" t="inlineStr">
        <is>
          <t>SAP Consultant</t>
        </is>
      </c>
      <c r="B6" t="inlineStr">
        <is>
          <t>SAP</t>
        </is>
      </c>
      <c r="C6" t="inlineStr">
        <is>
          <t>billable</t>
        </is>
      </c>
      <c r="D6" s="16" t="n">
        <v>1.54</v>
      </c>
      <c r="E6" s="16" t="n">
        <v>1.54</v>
      </c>
      <c r="F6" s="16" t="n">
        <v>1.54</v>
      </c>
      <c r="G6" s="16" t="n">
        <v>1.54</v>
      </c>
      <c r="H6" s="16" t="n">
        <v>2.44</v>
      </c>
      <c r="I6" s="16" t="n">
        <v>2.44</v>
      </c>
      <c r="J6" s="16" t="n">
        <v>2.44</v>
      </c>
      <c r="K6" s="16" t="n">
        <v>2.44</v>
      </c>
      <c r="L6" s="16" t="n">
        <v>2.44</v>
      </c>
      <c r="M6" s="16" t="n">
        <v>2.44</v>
      </c>
      <c r="N6" s="16" t="n">
        <v>1.39</v>
      </c>
      <c r="O6" s="16" t="n">
        <v>1.39</v>
      </c>
      <c r="P6" s="16" t="n">
        <v>1.39</v>
      </c>
      <c r="Q6" s="16" t="n">
        <v>1.39</v>
      </c>
      <c r="R6" s="16" t="n">
        <v>1.39</v>
      </c>
      <c r="S6" s="16" t="n">
        <v>1.39</v>
      </c>
      <c r="T6" s="16" t="n">
        <v>0</v>
      </c>
      <c r="U6" s="16" t="n">
        <v>0</v>
      </c>
      <c r="V6" s="16" t="n">
        <v>0</v>
      </c>
      <c r="W6" s="16" t="n">
        <v>0</v>
      </c>
      <c r="X6" s="16" t="n">
        <v>0</v>
      </c>
      <c r="Y6" s="16" t="n">
        <v>0</v>
      </c>
      <c r="Z6" s="16" t="n">
        <v>0</v>
      </c>
      <c r="AA6" s="16" t="n">
        <v>0</v>
      </c>
      <c r="AB6" s="16" t="n">
        <v>0</v>
      </c>
      <c r="AC6" s="19" t="n">
        <v>6.45</v>
      </c>
      <c r="AD6" s="19" t="n">
        <v>6.45</v>
      </c>
      <c r="AE6" s="19" t="n">
        <v>6.45</v>
      </c>
      <c r="AF6" s="19" t="n">
        <v>6.45</v>
      </c>
      <c r="AG6" s="19" t="n">
        <v>6.45</v>
      </c>
      <c r="AH6" s="19" t="n">
        <v>6.45</v>
      </c>
      <c r="AI6" s="19" t="n">
        <v>6.45</v>
      </c>
      <c r="AJ6" s="19" t="n">
        <v>6.45</v>
      </c>
      <c r="AK6" s="19" t="n">
        <v>6.45</v>
      </c>
      <c r="AL6" s="19" t="n">
        <v>6.45</v>
      </c>
      <c r="AM6" s="19" t="n">
        <v>6.45</v>
      </c>
      <c r="AN6" s="16" t="n">
        <v>3.22</v>
      </c>
      <c r="AO6" s="16" t="n">
        <v>3.22</v>
      </c>
      <c r="AP6" s="16" t="n">
        <v>3.22</v>
      </c>
      <c r="AQ6" s="16" t="n">
        <v>3.22</v>
      </c>
      <c r="AR6" s="16" t="n">
        <v>3.22</v>
      </c>
      <c r="AS6" s="16" t="n">
        <v>3.22</v>
      </c>
      <c r="AT6" s="16" t="n">
        <v>3.22</v>
      </c>
      <c r="AU6" s="16" t="n">
        <v>3.22</v>
      </c>
      <c r="AV6" s="16" t="n">
        <v>3.22</v>
      </c>
      <c r="AW6" s="16" t="n">
        <v>0</v>
      </c>
      <c r="AX6" s="16" t="n">
        <v>0</v>
      </c>
      <c r="AY6" s="16" t="n">
        <v>0</v>
      </c>
      <c r="AZ6" s="16" t="n">
        <v>0</v>
      </c>
      <c r="BA6" s="16" t="n">
        <v>0</v>
      </c>
      <c r="BB6" s="16" t="n">
        <v>0</v>
      </c>
      <c r="BC6" s="16" t="n">
        <v>4.17</v>
      </c>
      <c r="BD6" s="16" t="n">
        <v>4.17</v>
      </c>
      <c r="BE6" s="16" t="n">
        <v>4.17</v>
      </c>
      <c r="BF6" s="16" t="n">
        <v>4.17</v>
      </c>
      <c r="BG6" s="17">
        <f>SUM(D6:BF6)</f>
        <v/>
      </c>
    </row>
    <row r="7">
      <c r="A7" t="inlineStr">
        <is>
          <t>Site Reliability Engineer</t>
        </is>
      </c>
      <c r="B7" t="inlineStr">
        <is>
          <t>SRE</t>
        </is>
      </c>
      <c r="C7" t="inlineStr">
        <is>
          <t>billable</t>
        </is>
      </c>
      <c r="D7" s="16" t="n">
        <v>2.04</v>
      </c>
      <c r="E7" s="16" t="n">
        <v>2.04</v>
      </c>
      <c r="F7" s="16" t="n">
        <v>2.04</v>
      </c>
      <c r="G7" s="16" t="n">
        <v>2.04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1.89</v>
      </c>
      <c r="O7" s="16" t="n">
        <v>1.89</v>
      </c>
      <c r="P7" s="16" t="n">
        <v>1.89</v>
      </c>
      <c r="Q7" s="16" t="n">
        <v>1.89</v>
      </c>
      <c r="R7" s="16" t="n">
        <v>1.89</v>
      </c>
      <c r="S7" s="16" t="n">
        <v>1.89</v>
      </c>
      <c r="T7" s="16" t="n">
        <v>0</v>
      </c>
      <c r="U7" s="16" t="n">
        <v>0</v>
      </c>
      <c r="V7" s="16" t="n">
        <v>0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  <c r="AJ7" s="16" t="n">
        <v>0</v>
      </c>
      <c r="AK7" s="16" t="n">
        <v>0</v>
      </c>
      <c r="AL7" s="16" t="n">
        <v>0</v>
      </c>
      <c r="AM7" s="16" t="n">
        <v>0</v>
      </c>
      <c r="AN7" s="16" t="n">
        <v>0.57</v>
      </c>
      <c r="AO7" s="16" t="n">
        <v>0.57</v>
      </c>
      <c r="AP7" s="16" t="n">
        <v>0.57</v>
      </c>
      <c r="AQ7" s="16" t="n">
        <v>0.57</v>
      </c>
      <c r="AR7" s="16" t="n">
        <v>0.57</v>
      </c>
      <c r="AS7" s="16" t="n">
        <v>0.57</v>
      </c>
      <c r="AT7" s="16" t="n">
        <v>0.57</v>
      </c>
      <c r="AU7" s="16" t="n">
        <v>0.57</v>
      </c>
      <c r="AV7" s="16" t="n">
        <v>0.57</v>
      </c>
      <c r="AW7" s="16" t="n">
        <v>0</v>
      </c>
      <c r="AX7" s="16" t="n">
        <v>0</v>
      </c>
      <c r="AY7" s="16" t="n">
        <v>0</v>
      </c>
      <c r="AZ7" s="16" t="n">
        <v>0</v>
      </c>
      <c r="BA7" s="16" t="n">
        <v>0</v>
      </c>
      <c r="BB7" s="16" t="n">
        <v>0</v>
      </c>
      <c r="BC7" s="16" t="n">
        <v>0</v>
      </c>
      <c r="BD7" s="16" t="n">
        <v>0</v>
      </c>
      <c r="BE7" s="16" t="n">
        <v>0</v>
      </c>
      <c r="BF7" s="16" t="n">
        <v>0</v>
      </c>
      <c r="BG7" s="17">
        <f>SUM(D7:BF7)</f>
        <v/>
      </c>
    </row>
    <row r="8">
      <c r="A8" t="inlineStr">
        <is>
          <t>Training Specialist</t>
        </is>
      </c>
      <c r="B8" t="inlineStr">
        <is>
          <t>TRN</t>
        </is>
      </c>
      <c r="C8" t="inlineStr">
        <is>
          <t>billable</t>
        </is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0</v>
      </c>
      <c r="Q8" s="16" t="n">
        <v>0</v>
      </c>
      <c r="R8" s="16" t="n">
        <v>0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0</v>
      </c>
      <c r="X8" s="16" t="n">
        <v>0</v>
      </c>
      <c r="Y8" s="16" t="n">
        <v>0</v>
      </c>
      <c r="Z8" s="16" t="n">
        <v>0</v>
      </c>
      <c r="AA8" s="16" t="n">
        <v>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  <c r="AJ8" s="16" t="n">
        <v>0</v>
      </c>
      <c r="AK8" s="16" t="n">
        <v>0</v>
      </c>
      <c r="AL8" s="16" t="n">
        <v>0</v>
      </c>
      <c r="AM8" s="16" t="n">
        <v>0</v>
      </c>
      <c r="AN8" s="16" t="n">
        <v>0</v>
      </c>
      <c r="AO8" s="16" t="n">
        <v>0</v>
      </c>
      <c r="AP8" s="16" t="n">
        <v>0</v>
      </c>
      <c r="AQ8" s="16" t="n">
        <v>0</v>
      </c>
      <c r="AR8" s="16" t="n">
        <v>0</v>
      </c>
      <c r="AS8" s="16" t="n">
        <v>0</v>
      </c>
      <c r="AT8" s="16" t="n">
        <v>0</v>
      </c>
      <c r="AU8" s="16" t="n">
        <v>0</v>
      </c>
      <c r="AV8" s="16" t="n">
        <v>0</v>
      </c>
      <c r="AW8" s="18" t="n">
        <v>4.67</v>
      </c>
      <c r="AX8" s="18" t="n">
        <v>4.67</v>
      </c>
      <c r="AY8" s="18" t="n">
        <v>4.67</v>
      </c>
      <c r="AZ8" s="18" t="n">
        <v>4.67</v>
      </c>
      <c r="BA8" s="18" t="n">
        <v>4.67</v>
      </c>
      <c r="BB8" s="18" t="n">
        <v>4.67</v>
      </c>
      <c r="BC8" s="16" t="n">
        <v>0</v>
      </c>
      <c r="BD8" s="16" t="n">
        <v>0</v>
      </c>
      <c r="BE8" s="16" t="n">
        <v>0</v>
      </c>
      <c r="BF8" s="16" t="n">
        <v>0</v>
      </c>
      <c r="BG8" s="17">
        <f>SUM(D8:BF8)</f>
        <v/>
      </c>
    </row>
    <row r="9">
      <c r="A9" s="11" t="inlineStr">
        <is>
          <t>Weekly TOTAL</t>
        </is>
      </c>
      <c r="D9" s="12">
        <f>SUM(D3:D8)</f>
        <v/>
      </c>
      <c r="E9" s="12">
        <f>SUM(E3:E8)</f>
        <v/>
      </c>
      <c r="F9" s="12">
        <f>SUM(F3:F8)</f>
        <v/>
      </c>
      <c r="G9" s="12">
        <f>SUM(G3:G8)</f>
        <v/>
      </c>
      <c r="H9" s="12">
        <f>SUM(H3:H8)</f>
        <v/>
      </c>
      <c r="I9" s="12">
        <f>SUM(I3:I8)</f>
        <v/>
      </c>
      <c r="J9" s="12">
        <f>SUM(J3:J8)</f>
        <v/>
      </c>
      <c r="K9" s="12">
        <f>SUM(K3:K8)</f>
        <v/>
      </c>
      <c r="L9" s="12">
        <f>SUM(L3:L8)</f>
        <v/>
      </c>
      <c r="M9" s="12">
        <f>SUM(M3:M8)</f>
        <v/>
      </c>
      <c r="N9" s="12">
        <f>SUM(N3:N8)</f>
        <v/>
      </c>
      <c r="O9" s="12">
        <f>SUM(O3:O8)</f>
        <v/>
      </c>
      <c r="P9" s="12">
        <f>SUM(P3:P8)</f>
        <v/>
      </c>
      <c r="Q9" s="12">
        <f>SUM(Q3:Q8)</f>
        <v/>
      </c>
      <c r="R9" s="12">
        <f>SUM(R3:R8)</f>
        <v/>
      </c>
      <c r="S9" s="12">
        <f>SUM(S3:S8)</f>
        <v/>
      </c>
      <c r="T9" s="12">
        <f>SUM(T3:T8)</f>
        <v/>
      </c>
      <c r="U9" s="12">
        <f>SUM(U3:U8)</f>
        <v/>
      </c>
      <c r="V9" s="12">
        <f>SUM(V3:V8)</f>
        <v/>
      </c>
      <c r="W9" s="12">
        <f>SUM(W3:W8)</f>
        <v/>
      </c>
      <c r="X9" s="12">
        <f>SUM(X3:X8)</f>
        <v/>
      </c>
      <c r="Y9" s="12">
        <f>SUM(Y3:Y8)</f>
        <v/>
      </c>
      <c r="Z9" s="12">
        <f>SUM(Z3:Z8)</f>
        <v/>
      </c>
      <c r="AA9" s="12">
        <f>SUM(AA3:AA8)</f>
        <v/>
      </c>
      <c r="AB9" s="12">
        <f>SUM(AB3:AB8)</f>
        <v/>
      </c>
      <c r="AC9" s="12">
        <f>SUM(AC3:AC8)</f>
        <v/>
      </c>
      <c r="AD9" s="12">
        <f>SUM(AD3:AD8)</f>
        <v/>
      </c>
      <c r="AE9" s="12">
        <f>SUM(AE3:AE8)</f>
        <v/>
      </c>
      <c r="AF9" s="12">
        <f>SUM(AF3:AF8)</f>
        <v/>
      </c>
      <c r="AG9" s="12">
        <f>SUM(AG3:AG8)</f>
        <v/>
      </c>
      <c r="AH9" s="12">
        <f>SUM(AH3:AH8)</f>
        <v/>
      </c>
      <c r="AI9" s="12">
        <f>SUM(AI3:AI8)</f>
        <v/>
      </c>
      <c r="AJ9" s="12">
        <f>SUM(AJ3:AJ8)</f>
        <v/>
      </c>
      <c r="AK9" s="12">
        <f>SUM(AK3:AK8)</f>
        <v/>
      </c>
      <c r="AL9" s="12">
        <f>SUM(AL3:AL8)</f>
        <v/>
      </c>
      <c r="AM9" s="12">
        <f>SUM(AM3:AM8)</f>
        <v/>
      </c>
      <c r="AN9" s="12">
        <f>SUM(AN3:AN8)</f>
        <v/>
      </c>
      <c r="AO9" s="12">
        <f>SUM(AO3:AO8)</f>
        <v/>
      </c>
      <c r="AP9" s="12">
        <f>SUM(AP3:AP8)</f>
        <v/>
      </c>
      <c r="AQ9" s="12">
        <f>SUM(AQ3:AQ8)</f>
        <v/>
      </c>
      <c r="AR9" s="12">
        <f>SUM(AR3:AR8)</f>
        <v/>
      </c>
      <c r="AS9" s="12">
        <f>SUM(AS3:AS8)</f>
        <v/>
      </c>
      <c r="AT9" s="12">
        <f>SUM(AT3:AT8)</f>
        <v/>
      </c>
      <c r="AU9" s="12">
        <f>SUM(AU3:AU8)</f>
        <v/>
      </c>
      <c r="AV9" s="12">
        <f>SUM(AV3:AV8)</f>
        <v/>
      </c>
      <c r="AW9" s="12">
        <f>SUM(AW3:AW8)</f>
        <v/>
      </c>
      <c r="AX9" s="12">
        <f>SUM(AX3:AX8)</f>
        <v/>
      </c>
      <c r="AY9" s="12">
        <f>SUM(AY3:AY8)</f>
        <v/>
      </c>
      <c r="AZ9" s="12">
        <f>SUM(AZ3:AZ8)</f>
        <v/>
      </c>
      <c r="BA9" s="12">
        <f>SUM(BA3:BA8)</f>
        <v/>
      </c>
      <c r="BB9" s="12">
        <f>SUM(BB3:BB8)</f>
        <v/>
      </c>
      <c r="BC9" s="12">
        <f>SUM(BC3:BC8)</f>
        <v/>
      </c>
      <c r="BD9" s="12">
        <f>SUM(BD3:BD8)</f>
        <v/>
      </c>
      <c r="BE9" s="12">
        <f>SUM(BE3:BE8)</f>
        <v/>
      </c>
      <c r="BF9" s="12">
        <f>SUM(BF3:BF8)</f>
        <v/>
      </c>
      <c r="BG9" s="12">
        <f>SUM(D9:BF9)</f>
        <v/>
      </c>
    </row>
    <row r="11">
      <c r="A11" s="20" t="inlineStr">
        <is>
          <t>Capacity Warnings</t>
        </is>
      </c>
    </row>
    <row r="12">
      <c r="A12" t="inlineStr">
        <is>
          <t>Overcommit: W26 (SAP) (6.5 PD vs 5.0 PD capacity)</t>
        </is>
      </c>
    </row>
    <row r="13">
      <c r="A13" t="inlineStr">
        <is>
          <t>Overcommit: W27 (SAP) (6.5 PD vs 5.0 PD capacity)</t>
        </is>
      </c>
    </row>
    <row r="14">
      <c r="A14" t="inlineStr">
        <is>
          <t>Overcommit: W28 (SAP) (6.5 PD vs 5.0 PD capacity)</t>
        </is>
      </c>
    </row>
    <row r="15">
      <c r="A15" t="inlineStr">
        <is>
          <t>Overcommit: W29 (SAP) (6.5 PD vs 5.0 PD capacity)</t>
        </is>
      </c>
    </row>
    <row r="16">
      <c r="A16" t="inlineStr">
        <is>
          <t>Overcommit: W30 (SAP) (6.5 PD vs 5.0 PD capacity)</t>
        </is>
      </c>
    </row>
    <row r="17">
      <c r="A17" t="inlineStr">
        <is>
          <t>Overcommit: W31 (SAP) (6.5 PD vs 5.0 PD capacity)</t>
        </is>
      </c>
    </row>
    <row r="18">
      <c r="A18" t="inlineStr">
        <is>
          <t>Overcommit: W32 (SAP) (6.5 PD vs 5.0 PD capacity)</t>
        </is>
      </c>
    </row>
    <row r="19">
      <c r="A19" t="inlineStr">
        <is>
          <t>Overcommit: W33 (SAP) (6.5 PD vs 5.0 PD capacity)</t>
        </is>
      </c>
    </row>
    <row r="20">
      <c r="A20" t="inlineStr">
        <is>
          <t>Overcommit: W34 (SAP) (6.5 PD vs 5.0 PD capacity)</t>
        </is>
      </c>
    </row>
    <row r="21">
      <c r="A21" t="inlineStr">
        <is>
          <t>Overcommit: W35 (SAP) (6.5 PD vs 5.0 PD capacity)</t>
        </is>
      </c>
    </row>
    <row r="22">
      <c r="A22" t="inlineStr">
        <is>
          <t>Overcommit: W36 (SAP) (6.5 PD vs 5.0 PD capacity)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35" customWidth="1" min="10" max="10"/>
    <col width="10" customWidth="1" min="11" max="11"/>
    <col width="16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Risk Description</t>
        </is>
      </c>
      <c r="C1" s="1" t="inlineStr">
        <is>
          <t>Category</t>
        </is>
      </c>
      <c r="D1" s="1" t="inlineStr">
        <is>
          <t>Affected Phases</t>
        </is>
      </c>
      <c r="E1" s="1" t="inlineStr">
        <is>
          <t>Probability (1-5)</t>
        </is>
      </c>
      <c r="F1" s="1" t="inlineStr">
        <is>
          <t>Impact (1-5)</t>
        </is>
      </c>
      <c r="G1" s="1" t="inlineStr">
        <is>
          <t>Risk Score</t>
        </is>
      </c>
      <c r="H1" s="1" t="inlineStr">
        <is>
          <t>Priority</t>
        </is>
      </c>
      <c r="I1" s="1" t="inlineStr">
        <is>
          <t>Strategy</t>
        </is>
      </c>
      <c r="J1" s="1" t="inlineStr">
        <is>
          <t>Mitigation Action</t>
        </is>
      </c>
      <c r="K1" s="1" t="inlineStr">
        <is>
          <t>Owner</t>
        </is>
      </c>
      <c r="L1" s="1" t="inlineStr">
        <is>
          <t>Contingency (pd)</t>
        </is>
      </c>
      <c r="M1" s="1" t="inlineStr">
        <is>
          <t>Contingency Cost</t>
        </is>
      </c>
    </row>
    <row r="2">
      <c r="A2" s="21" t="inlineStr">
        <is>
          <t>R01</t>
        </is>
      </c>
      <c r="B2" s="21" t="inlineStr">
        <is>
          <t>Key SAP consultant unavailable due to market competition</t>
        </is>
      </c>
      <c r="C2" s="21" t="inlineStr">
        <is>
          <t>Organizational</t>
        </is>
      </c>
      <c r="D2" s="21" t="inlineStr">
        <is>
          <t>5, 6</t>
        </is>
      </c>
      <c r="E2" s="21" t="n">
        <v>4</v>
      </c>
      <c r="F2" s="21" t="n">
        <v>5</v>
      </c>
      <c r="G2" s="21">
        <f>E2*F2</f>
        <v/>
      </c>
      <c r="H2" s="21">
        <f>IF(G2&gt;=15,"CRITICAL",IF(G2&gt;=10,"HIGH",IF(G2&gt;=5,"MEDIUM","LOW")))</f>
        <v/>
      </c>
      <c r="I2" s="21" t="inlineStr">
        <is>
          <t>Mitigate</t>
        </is>
      </c>
      <c r="J2" s="21" t="inlineStr">
        <is>
          <t>Dual-source SAP consultants; include bench resource in contract</t>
        </is>
      </c>
      <c r="K2" s="21" t="inlineStr">
        <is>
          <t>PMO</t>
        </is>
      </c>
      <c r="L2" s="21" t="n">
        <v>20</v>
      </c>
      <c r="M2" s="21">
        <f>L2*600</f>
        <v/>
      </c>
    </row>
    <row r="3">
      <c r="A3" s="21" t="inlineStr">
        <is>
          <t>R02</t>
        </is>
      </c>
      <c r="B3" s="21" t="inlineStr">
        <is>
          <t>Legacy data quality worse than expected (duplicate/corrupt records)</t>
        </is>
      </c>
      <c r="C3" s="21" t="inlineStr">
        <is>
          <t>Technical</t>
        </is>
      </c>
      <c r="D3" s="21" t="inlineStr">
        <is>
          <t>4, 8</t>
        </is>
      </c>
      <c r="E3" s="21" t="n">
        <v>5</v>
      </c>
      <c r="F3" s="21" t="n">
        <v>4</v>
      </c>
      <c r="G3" s="21">
        <f>E3*F3</f>
        <v/>
      </c>
      <c r="H3" s="21">
        <f>IF(G3&gt;=15,"CRITICAL",IF(G3&gt;=10,"HIGH",IF(G3&gt;=5,"MEDIUM","LOW")))</f>
        <v/>
      </c>
      <c r="I3" s="21" t="inlineStr">
        <is>
          <t>Mitigate</t>
        </is>
      </c>
      <c r="J3" s="21" t="inlineStr">
        <is>
          <t>Early data profiling in phase 2; automated data quality rules</t>
        </is>
      </c>
      <c r="K3" s="21" t="inlineStr">
        <is>
          <t>DA</t>
        </is>
      </c>
      <c r="L3" s="21" t="n">
        <v>25</v>
      </c>
      <c r="M3" s="21">
        <f>L3*600</f>
        <v/>
      </c>
    </row>
    <row r="4">
      <c r="A4" s="21" t="inlineStr">
        <is>
          <t>R03</t>
        </is>
      </c>
      <c r="B4" s="21" t="inlineStr">
        <is>
          <t>Business process scope creep from stakeholder workshops</t>
        </is>
      </c>
      <c r="C4" s="21" t="inlineStr">
        <is>
          <t>Scope</t>
        </is>
      </c>
      <c r="D4" s="21" t="inlineStr">
        <is>
          <t>2, 3</t>
        </is>
      </c>
      <c r="E4" s="21" t="n">
        <v>4</v>
      </c>
      <c r="F4" s="21" t="n">
        <v>4</v>
      </c>
      <c r="G4" s="21">
        <f>E4*F4</f>
        <v/>
      </c>
      <c r="H4" s="21">
        <f>IF(G4&gt;=15,"CRITICAL",IF(G4&gt;=10,"HIGH",IF(G4&gt;=5,"MEDIUM","LOW")))</f>
        <v/>
      </c>
      <c r="I4" s="21" t="inlineStr">
        <is>
          <t>Mitigate</t>
        </is>
      </c>
      <c r="J4" s="21" t="inlineStr">
        <is>
          <t>Change control board; strict scope freeze after Phase 3 sign-off</t>
        </is>
      </c>
      <c r="K4" s="21" t="inlineStr">
        <is>
          <t>PMO</t>
        </is>
      </c>
      <c r="L4" s="21" t="n">
        <v>18</v>
      </c>
      <c r="M4" s="21">
        <f>L4*600</f>
        <v/>
      </c>
    </row>
    <row r="5">
      <c r="A5" s="21" t="inlineStr">
        <is>
          <t>R04</t>
        </is>
      </c>
      <c r="B5" s="21" t="inlineStr">
        <is>
          <t>S/4HANA cloud release breaking existing configuration</t>
        </is>
      </c>
      <c r="C5" s="21" t="inlineStr">
        <is>
          <t>Technical</t>
        </is>
      </c>
      <c r="D5" s="21" t="inlineStr">
        <is>
          <t>5, 8</t>
        </is>
      </c>
      <c r="E5" s="21" t="n">
        <v>3</v>
      </c>
      <c r="F5" s="21" t="n">
        <v>4</v>
      </c>
      <c r="G5" s="21">
        <f>E5*F5</f>
        <v/>
      </c>
      <c r="H5" s="21">
        <f>IF(G5&gt;=15,"CRITICAL",IF(G5&gt;=10,"HIGH",IF(G5&gt;=5,"MEDIUM","LOW")))</f>
        <v/>
      </c>
      <c r="I5" s="21" t="inlineStr">
        <is>
          <t>Mitigate</t>
        </is>
      </c>
      <c r="J5" s="21" t="inlineStr">
        <is>
          <t>Subscribe to SAP release notes; enforce non-productive system upgrade testing</t>
        </is>
      </c>
      <c r="K5" s="21" t="inlineStr">
        <is>
          <t>SAP</t>
        </is>
      </c>
      <c r="L5" s="21" t="n">
        <v>8</v>
      </c>
      <c r="M5" s="21">
        <f>L5*600</f>
        <v/>
      </c>
    </row>
    <row r="6">
      <c r="A6" s="21" t="inlineStr">
        <is>
          <t>R05</t>
        </is>
      </c>
      <c r="B6" s="21" t="inlineStr">
        <is>
          <t>Integration with Port Community System delayed by third party</t>
        </is>
      </c>
      <c r="C6" s="21" t="inlineStr">
        <is>
          <t>External</t>
        </is>
      </c>
      <c r="D6" s="21" t="inlineStr">
        <is>
          <t>3, 5, 6</t>
        </is>
      </c>
      <c r="E6" s="21" t="n">
        <v>4</v>
      </c>
      <c r="F6" s="21" t="n">
        <v>3</v>
      </c>
      <c r="G6" s="21">
        <f>E6*F6</f>
        <v/>
      </c>
      <c r="H6" s="21">
        <f>IF(G6&gt;=15,"CRITICAL",IF(G6&gt;=10,"HIGH",IF(G6&gt;=5,"MEDIUM","LOW")))</f>
        <v/>
      </c>
      <c r="I6" s="21" t="inlineStr">
        <is>
          <t>Accept</t>
        </is>
      </c>
      <c r="J6" s="21" t="inlineStr">
        <is>
          <t>Maintain interface stub for testing; escalate to contract management if delayed beyond threshold</t>
        </is>
      </c>
      <c r="K6" s="21" t="inlineStr">
        <is>
          <t>PMO</t>
        </is>
      </c>
      <c r="L6" s="21" t="n">
        <v>10</v>
      </c>
      <c r="M6" s="21">
        <f>L6*600</f>
        <v/>
      </c>
    </row>
    <row r="7">
      <c r="A7" s="21" t="inlineStr">
        <is>
          <t>R06</t>
        </is>
      </c>
      <c r="B7" s="21" t="inlineStr">
        <is>
          <t>End-user resistance to new processes (change management failure)</t>
        </is>
      </c>
      <c r="C7" s="21" t="inlineStr">
        <is>
          <t>Organizational</t>
        </is>
      </c>
      <c r="D7" s="21" t="inlineStr">
        <is>
          <t>3, 6, 7</t>
        </is>
      </c>
      <c r="E7" s="21" t="n">
        <v>3</v>
      </c>
      <c r="F7" s="21" t="n">
        <v>4</v>
      </c>
      <c r="G7" s="21">
        <f>E7*F7</f>
        <v/>
      </c>
      <c r="H7" s="21">
        <f>IF(G7&gt;=15,"CRITICAL",IF(G7&gt;=10,"HIGH",IF(G7&gt;=5,"MEDIUM","LOW")))</f>
        <v/>
      </c>
      <c r="I7" s="21" t="inlineStr">
        <is>
          <t>Mitigate</t>
        </is>
      </c>
      <c r="J7" s="21" t="inlineStr">
        <is>
          <t>Dedicated change management stream; early super-user programme; communications plan</t>
        </is>
      </c>
      <c r="K7" s="21" t="inlineStr">
        <is>
          <t>BDM</t>
        </is>
      </c>
      <c r="L7" s="21" t="n">
        <v>12</v>
      </c>
      <c r="M7" s="21">
        <f>L7*600</f>
        <v/>
      </c>
    </row>
    <row r="8">
      <c r="A8" s="21" t="inlineStr">
        <is>
          <t>R07</t>
        </is>
      </c>
      <c r="B8" s="21" t="inlineStr">
        <is>
          <t>ABAP custom code incompatibility with S/4HANA (deprecated APIs)</t>
        </is>
      </c>
      <c r="C8" s="21" t="inlineStr">
        <is>
          <t>Technical</t>
        </is>
      </c>
      <c r="D8" s="21" t="inlineStr">
        <is>
          <t>2, 5, 6</t>
        </is>
      </c>
      <c r="E8" s="21" t="n">
        <v>4</v>
      </c>
      <c r="F8" s="21" t="n">
        <v>3</v>
      </c>
      <c r="G8" s="21">
        <f>E8*F8</f>
        <v/>
      </c>
      <c r="H8" s="21">
        <f>IF(G8&gt;=15,"CRITICAL",IF(G8&gt;=10,"HIGH",IF(G8&gt;=5,"MEDIUM","LOW")))</f>
        <v/>
      </c>
      <c r="I8" s="21" t="inlineStr">
        <is>
          <t>Mitigate</t>
        </is>
      </c>
      <c r="J8" s="21" t="inlineStr">
        <is>
          <t>SAP Readiness Check early execution; remediation budget reserved</t>
        </is>
      </c>
      <c r="K8" s="21" t="inlineStr">
        <is>
          <t>SAP</t>
        </is>
      </c>
      <c r="L8" s="21" t="n">
        <v>14</v>
      </c>
      <c r="M8" s="21">
        <f>L8*600</f>
        <v/>
      </c>
    </row>
    <row r="9">
      <c r="A9" t="inlineStr">
        <is>
          <t>R08</t>
        </is>
      </c>
      <c r="B9" t="inlineStr">
        <is>
          <t>Inadequate UAT participation from business key users</t>
        </is>
      </c>
      <c r="C9" t="inlineStr">
        <is>
          <t>Organizational</t>
        </is>
      </c>
      <c r="D9" t="inlineStr">
        <is>
          <t>6</t>
        </is>
      </c>
      <c r="E9" t="n">
        <v>3</v>
      </c>
      <c r="F9" t="n">
        <v>3</v>
      </c>
      <c r="G9">
        <f>E9*F9</f>
        <v/>
      </c>
      <c r="H9">
        <f>IF(G9&gt;=15,"CRITICAL",IF(G9&gt;=10,"HIGH",IF(G9&gt;=5,"MEDIUM","LOW")))</f>
        <v/>
      </c>
      <c r="I9" t="inlineStr">
        <is>
          <t>Mitigate</t>
        </is>
      </c>
      <c r="J9" t="inlineStr">
        <is>
          <t>Formal UAT participation agreement signed by business owners; flexible scheduling</t>
        </is>
      </c>
      <c r="K9" t="inlineStr">
        <is>
          <t>BDM</t>
        </is>
      </c>
      <c r="L9" t="n">
        <v>6</v>
      </c>
      <c r="M9">
        <f>L9*600</f>
        <v/>
      </c>
    </row>
    <row r="10">
      <c r="A10" t="inlineStr">
        <is>
          <t>R09</t>
        </is>
      </c>
      <c r="B10" t="inlineStr">
        <is>
          <t>Data migration dry-run failures causing timeline slippage</t>
        </is>
      </c>
      <c r="C10" t="inlineStr">
        <is>
          <t>Technical</t>
        </is>
      </c>
      <c r="D10" t="inlineStr">
        <is>
          <t>4, 8</t>
        </is>
      </c>
      <c r="E10" t="n">
        <v>3</v>
      </c>
      <c r="F10" t="n">
        <v>3</v>
      </c>
      <c r="G10">
        <f>E10*F10</f>
        <v/>
      </c>
      <c r="H10">
        <f>IF(G10&gt;=15,"CRITICAL",IF(G10&gt;=10,"HIGH",IF(G10&gt;=5,"MEDIUM","LOW")))</f>
        <v/>
      </c>
      <c r="I10" t="inlineStr">
        <is>
          <t>Mitigate</t>
        </is>
      </c>
      <c r="J10" t="inlineStr">
        <is>
          <t>Two dress rehearsal migrations planned; automated reconciliation scripts</t>
        </is>
      </c>
      <c r="K10" t="inlineStr">
        <is>
          <t>DA</t>
        </is>
      </c>
      <c r="L10" t="n">
        <v>8</v>
      </c>
      <c r="M10">
        <f>L10*600</f>
        <v/>
      </c>
    </row>
    <row r="11">
      <c r="A11" t="inlineStr">
        <is>
          <t>R10</t>
        </is>
      </c>
      <c r="B11" t="inlineStr">
        <is>
          <t>Regulatory or customs authority system changes affecting interfaces</t>
        </is>
      </c>
      <c r="C11" t="inlineStr">
        <is>
          <t>External</t>
        </is>
      </c>
      <c r="D11" t="inlineStr">
        <is>
          <t>8</t>
        </is>
      </c>
      <c r="E11" t="n">
        <v>2</v>
      </c>
      <c r="F11" t="n">
        <v>4</v>
      </c>
      <c r="G11">
        <f>E11*F11</f>
        <v/>
      </c>
      <c r="H11">
        <f>IF(G11&gt;=15,"CRITICAL",IF(G11&gt;=10,"HIGH",IF(G11&gt;=5,"MEDIUM","LOW")))</f>
        <v/>
      </c>
      <c r="I11" t="inlineStr">
        <is>
          <t>Accept</t>
        </is>
      </c>
      <c r="J11" t="inlineStr">
        <is>
          <t>Monitor regulatory calendar; include contingency days in cutover plan</t>
        </is>
      </c>
      <c r="K11" t="inlineStr">
        <is>
          <t>PMO</t>
        </is>
      </c>
      <c r="L11" t="n">
        <v>5</v>
      </c>
      <c r="M11">
        <f>L11*600</f>
        <v/>
      </c>
    </row>
    <row r="12">
      <c r="A12" t="inlineStr">
        <is>
          <t>R11</t>
        </is>
      </c>
      <c r="B12" t="inlineStr">
        <is>
          <t>Cloud infrastructure provisioning delays</t>
        </is>
      </c>
      <c r="C12" t="inlineStr">
        <is>
          <t>Technical</t>
        </is>
      </c>
      <c r="D12" t="inlineStr">
        <is>
          <t>1, 3</t>
        </is>
      </c>
      <c r="E12" t="n">
        <v>2</v>
      </c>
      <c r="F12" t="n">
        <v>3</v>
      </c>
      <c r="G12">
        <f>E12*F12</f>
        <v/>
      </c>
      <c r="H12">
        <f>IF(G12&gt;=15,"CRITICAL",IF(G12&gt;=10,"HIGH",IF(G12&gt;=5,"MEDIUM","LOW")))</f>
        <v/>
      </c>
      <c r="I12" t="inlineStr">
        <is>
          <t>Mitigate</t>
        </is>
      </c>
      <c r="J12" t="inlineStr">
        <is>
          <t>Place provisioning order at contract signature; SLA tracked weekly</t>
        </is>
      </c>
      <c r="K12" t="inlineStr">
        <is>
          <t>SRE</t>
        </is>
      </c>
      <c r="L12" t="n">
        <v>4</v>
      </c>
      <c r="M12">
        <f>L12*600</f>
        <v/>
      </c>
    </row>
    <row r="13">
      <c r="A13" t="inlineStr">
        <is>
          <t>R12</t>
        </is>
      </c>
      <c r="B13" t="inlineStr">
        <is>
          <t>Training material not ready in time for UAT phase</t>
        </is>
      </c>
      <c r="C13" t="inlineStr">
        <is>
          <t>Schedule</t>
        </is>
      </c>
      <c r="D13" t="inlineStr">
        <is>
          <t>7</t>
        </is>
      </c>
      <c r="E13" t="n">
        <v>2</v>
      </c>
      <c r="F13" t="n">
        <v>2</v>
      </c>
      <c r="G13">
        <f>E13*F13</f>
        <v/>
      </c>
      <c r="H13">
        <f>IF(G13&gt;=15,"CRITICAL",IF(G13&gt;=10,"HIGH",IF(G13&gt;=5,"MEDIUM","LOW")))</f>
        <v/>
      </c>
      <c r="I13" t="inlineStr">
        <is>
          <t>Accept</t>
        </is>
      </c>
      <c r="J13" t="inlineStr">
        <is>
          <t>Parallel development of training materials starting in Phase 3</t>
        </is>
      </c>
      <c r="K13" t="inlineStr">
        <is>
          <t>TRN</t>
        </is>
      </c>
      <c r="L13" t="n">
        <v>3</v>
      </c>
      <c r="M13">
        <f>L13*600</f>
        <v/>
      </c>
    </row>
    <row r="15">
      <c r="A15" s="11" t="inlineStr">
        <is>
          <t>TOTAL</t>
        </is>
      </c>
      <c r="L15" s="11">
        <f>SUM(L2:L13)</f>
        <v/>
      </c>
      <c r="M15" s="11">
        <f>SUM(M2:M13)</f>
        <v/>
      </c>
    </row>
    <row r="16">
      <c r="A16" t="inlineStr">
        <is>
          <t>Management Reserve</t>
        </is>
      </c>
      <c r="L16">
        <f>(WBS!H66*(1+0.1+0.05)+L15)*0.15</f>
        <v/>
      </c>
      <c r="M16">
        <f>(WBS!H66*(1+0.1+0.05)+L15)*0.15*600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Phase</t>
        </is>
      </c>
      <c r="B1" s="1" t="inlineStr">
        <is>
          <t>Description</t>
        </is>
      </c>
      <c r="C1" s="1" t="inlineStr">
        <is>
          <t>Best Effort (pd)</t>
        </is>
      </c>
      <c r="D1" s="1" t="inlineStr">
        <is>
          <t>Likely Effort (pd)</t>
        </is>
      </c>
      <c r="E1" s="1" t="inlineStr">
        <is>
          <t>Worst Effort (pd)</t>
        </is>
      </c>
      <c r="F1" s="1" t="inlineStr">
        <is>
          <t>PERT Effort (pd)</t>
        </is>
      </c>
      <c r="G1" s="1" t="inlineStr">
        <is>
          <t>Best Duration (d)</t>
        </is>
      </c>
      <c r="H1" s="1" t="inlineStr">
        <is>
          <t>Likely Duration (d)</t>
        </is>
      </c>
      <c r="I1" s="1" t="inlineStr">
        <is>
          <t>Worst Duration (d)</t>
        </is>
      </c>
      <c r="J1" s="1" t="inlineStr">
        <is>
          <t>PERT Duration (d)</t>
        </is>
      </c>
      <c r="K1" s="1" t="inlineStr">
        <is>
          <t>σ Duration</t>
        </is>
      </c>
    </row>
    <row r="2">
      <c r="A2" s="2">
        <f>WBS!B2</f>
        <v/>
      </c>
      <c r="B2" s="2" t="inlineStr">
        <is>
          <t>Establish project governance, tooling and baseline understanding</t>
        </is>
      </c>
      <c r="C2" s="4">
        <f>WBS!E2</f>
        <v/>
      </c>
      <c r="D2" s="4">
        <f>WBS!F2</f>
        <v/>
      </c>
      <c r="E2" s="4">
        <f>WBS!G2</f>
        <v/>
      </c>
      <c r="F2" s="4">
        <f>WBS!H2</f>
        <v/>
      </c>
      <c r="G2" s="4">
        <f>WBS!I2</f>
        <v/>
      </c>
      <c r="H2" s="4">
        <f>WBS!J2</f>
        <v/>
      </c>
      <c r="I2" s="4">
        <f>WBS!K2</f>
        <v/>
      </c>
      <c r="J2" s="4">
        <f>WBS!L2</f>
        <v/>
      </c>
      <c r="K2" s="4">
        <f>WBS!M2</f>
        <v/>
      </c>
    </row>
    <row r="3">
      <c r="A3" s="2">
        <f>WBS!B10</f>
        <v/>
      </c>
      <c r="B3" s="2" t="inlineStr">
        <is>
          <t>Deep-dive documentation of current business processes and technical landscape</t>
        </is>
      </c>
      <c r="C3" s="4">
        <f>WBS!E10</f>
        <v/>
      </c>
      <c r="D3" s="4">
        <f>WBS!F10</f>
        <v/>
      </c>
      <c r="E3" s="4">
        <f>WBS!G10</f>
        <v/>
      </c>
      <c r="F3" s="4">
        <f>WBS!H10</f>
        <v/>
      </c>
      <c r="G3" s="4">
        <f>WBS!I10</f>
        <v/>
      </c>
      <c r="H3" s="4">
        <f>WBS!J10</f>
        <v/>
      </c>
      <c r="I3" s="4">
        <f>WBS!K10</f>
        <v/>
      </c>
      <c r="J3" s="4">
        <f>WBS!L10</f>
        <v/>
      </c>
      <c r="K3" s="4">
        <f>WBS!M10</f>
        <v/>
      </c>
    </row>
    <row r="4">
      <c r="A4" s="2">
        <f>WBS!B18</f>
        <v/>
      </c>
      <c r="B4" s="2" t="inlineStr">
        <is>
          <t>Architectural and functional design of the target S/4HANA environment</t>
        </is>
      </c>
      <c r="C4" s="4">
        <f>WBS!E18</f>
        <v/>
      </c>
      <c r="D4" s="4">
        <f>WBS!F18</f>
        <v/>
      </c>
      <c r="E4" s="4">
        <f>WBS!G18</f>
        <v/>
      </c>
      <c r="F4" s="4">
        <f>WBS!H18</f>
        <v/>
      </c>
      <c r="G4" s="4">
        <f>WBS!I18</f>
        <v/>
      </c>
      <c r="H4" s="4">
        <f>WBS!J18</f>
        <v/>
      </c>
      <c r="I4" s="4">
        <f>WBS!K18</f>
        <v/>
      </c>
      <c r="J4" s="4">
        <f>WBS!L18</f>
        <v/>
      </c>
      <c r="K4" s="4">
        <f>WBS!M18</f>
        <v/>
      </c>
    </row>
    <row r="5">
      <c r="A5" s="2">
        <f>WBS!B26</f>
        <v/>
      </c>
      <c r="B5" s="2" t="inlineStr">
        <is>
          <t>Design, build and execute data extraction, transformation and load activities</t>
        </is>
      </c>
      <c r="C5" s="4">
        <f>WBS!E26</f>
        <v/>
      </c>
      <c r="D5" s="4">
        <f>WBS!F26</f>
        <v/>
      </c>
      <c r="E5" s="4">
        <f>WBS!G26</f>
        <v/>
      </c>
      <c r="F5" s="4">
        <f>WBS!H26</f>
        <v/>
      </c>
      <c r="G5" s="4">
        <f>WBS!I26</f>
        <v/>
      </c>
      <c r="H5" s="4">
        <f>WBS!J26</f>
        <v/>
      </c>
      <c r="I5" s="4">
        <f>WBS!K26</f>
        <v/>
      </c>
      <c r="J5" s="4">
        <f>WBS!L26</f>
        <v/>
      </c>
      <c r="K5" s="4">
        <f>WBS!M26</f>
        <v/>
      </c>
    </row>
    <row r="6">
      <c r="A6" s="2">
        <f>WBS!B34</f>
        <v/>
      </c>
      <c r="B6" s="2" t="inlineStr">
        <is>
          <t>Build of configuration, custom extensions and integration components</t>
        </is>
      </c>
      <c r="C6" s="4">
        <f>WBS!E34</f>
        <v/>
      </c>
      <c r="D6" s="4">
        <f>WBS!F34</f>
        <v/>
      </c>
      <c r="E6" s="4">
        <f>WBS!G34</f>
        <v/>
      </c>
      <c r="F6" s="4">
        <f>WBS!H34</f>
        <v/>
      </c>
      <c r="G6" s="4">
        <f>WBS!I34</f>
        <v/>
      </c>
      <c r="H6" s="4">
        <f>WBS!J34</f>
        <v/>
      </c>
      <c r="I6" s="4">
        <f>WBS!K34</f>
        <v/>
      </c>
      <c r="J6" s="4">
        <f>WBS!L34</f>
        <v/>
      </c>
      <c r="K6" s="4">
        <f>WBS!M34</f>
        <v/>
      </c>
    </row>
    <row r="7">
      <c r="A7" s="2">
        <f>WBS!B42</f>
        <v/>
      </c>
      <c r="B7" s="2" t="inlineStr">
        <is>
          <t>Structured testing cycle from unit through to User Acceptance Testing</t>
        </is>
      </c>
      <c r="C7" s="4">
        <f>WBS!E42</f>
        <v/>
      </c>
      <c r="D7" s="4">
        <f>WBS!F42</f>
        <v/>
      </c>
      <c r="E7" s="4">
        <f>WBS!G42</f>
        <v/>
      </c>
      <c r="F7" s="4">
        <f>WBS!H42</f>
        <v/>
      </c>
      <c r="G7" s="4">
        <f>WBS!I42</f>
        <v/>
      </c>
      <c r="H7" s="4">
        <f>WBS!J42</f>
        <v/>
      </c>
      <c r="I7" s="4">
        <f>WBS!K42</f>
        <v/>
      </c>
      <c r="J7" s="4">
        <f>WBS!L42</f>
        <v/>
      </c>
      <c r="K7" s="4">
        <f>WBS!M42</f>
        <v/>
      </c>
    </row>
    <row r="8">
      <c r="A8" s="2">
        <f>WBS!B51</f>
        <v/>
      </c>
      <c r="B8" s="2" t="inlineStr">
        <is>
          <t>Knowledge transfer and end-user enablement programme</t>
        </is>
      </c>
      <c r="C8" s="4">
        <f>WBS!E51</f>
        <v/>
      </c>
      <c r="D8" s="4">
        <f>WBS!F51</f>
        <v/>
      </c>
      <c r="E8" s="4">
        <f>WBS!G51</f>
        <v/>
      </c>
      <c r="F8" s="4">
        <f>WBS!H51</f>
        <v/>
      </c>
      <c r="G8" s="4">
        <f>WBS!I51</f>
        <v/>
      </c>
      <c r="H8" s="4">
        <f>WBS!J51</f>
        <v/>
      </c>
      <c r="I8" s="4">
        <f>WBS!K51</f>
        <v/>
      </c>
      <c r="J8" s="4">
        <f>WBS!L51</f>
        <v/>
      </c>
      <c r="K8" s="4">
        <f>WBS!M51</f>
        <v/>
      </c>
    </row>
    <row r="9">
      <c r="A9" s="2">
        <f>WBS!B58</f>
        <v/>
      </c>
      <c r="B9" s="2" t="inlineStr">
        <is>
          <t>Production cutover and post-go-live hypercare support</t>
        </is>
      </c>
      <c r="C9" s="4">
        <f>WBS!E58</f>
        <v/>
      </c>
      <c r="D9" s="4">
        <f>WBS!F58</f>
        <v/>
      </c>
      <c r="E9" s="4">
        <f>WBS!G58</f>
        <v/>
      </c>
      <c r="F9" s="4">
        <f>WBS!H58</f>
        <v/>
      </c>
      <c r="G9" s="4">
        <f>WBS!I58</f>
        <v/>
      </c>
      <c r="H9" s="4">
        <f>WBS!J58</f>
        <v/>
      </c>
      <c r="I9" s="4">
        <f>WBS!K58</f>
        <v/>
      </c>
      <c r="J9" s="4">
        <f>WBS!L58</f>
        <v/>
      </c>
      <c r="K9" s="4">
        <f>WBS!M58</f>
        <v/>
      </c>
    </row>
    <row r="10">
      <c r="A10" s="11" t="inlineStr">
        <is>
          <t>TOTAL</t>
        </is>
      </c>
      <c r="B10" s="11" t="n"/>
      <c r="C10" s="13">
        <f>SUM(C2:C9)</f>
        <v/>
      </c>
      <c r="D10" s="13">
        <f>SUM(D2:D9)</f>
        <v/>
      </c>
      <c r="E10" s="13">
        <f>SUM(E2:E9)</f>
        <v/>
      </c>
      <c r="F10" s="13">
        <f>SUM(F2:F9)</f>
        <v/>
      </c>
      <c r="G10" s="13">
        <f>SUM(G2:G9)</f>
        <v/>
      </c>
      <c r="H10" s="13">
        <f>SUM(H2:H9)</f>
        <v/>
      </c>
      <c r="I10" s="13">
        <f>SUM(I2:I9)</f>
        <v/>
      </c>
      <c r="J10" s="13">
        <f>SUM(J2:J9)</f>
        <v/>
      </c>
      <c r="K10" s="13">
        <f>SUM(K2:K9)</f>
        <v/>
      </c>
    </row>
    <row r="12">
      <c r="A12" t="inlineStr">
        <is>
          <t>Tech PERT Effort (PD)</t>
        </is>
      </c>
      <c r="B12">
        <f>F10</f>
        <v/>
      </c>
    </row>
    <row r="13">
      <c r="A13" t="inlineStr">
        <is>
          <t>PM Overhead (+10%) (PD)</t>
        </is>
      </c>
      <c r="B13">
        <f>B12*0.1</f>
        <v/>
      </c>
    </row>
    <row r="14">
      <c r="A14" t="inlineStr">
        <is>
          <t>DevOps Overhead (+5%) (PD)</t>
        </is>
      </c>
      <c r="B14">
        <f>B12*0.05</f>
        <v/>
      </c>
    </row>
    <row r="15">
      <c r="A15" t="inlineStr">
        <is>
          <t>Subtotal Tech + Overhead (PD)</t>
        </is>
      </c>
      <c r="B15">
        <f>B12+B13+B14</f>
        <v/>
      </c>
    </row>
    <row r="16">
      <c r="A16" t="inlineStr">
        <is>
          <t>Contingency per-risk (PD)</t>
        </is>
      </c>
      <c r="B16">
        <f>Risks!L15</f>
        <v/>
      </c>
    </row>
    <row r="17">
      <c r="A17" t="inlineStr">
        <is>
          <t>Low Band</t>
        </is>
      </c>
      <c r="B17">
        <f>B15+B16</f>
        <v/>
      </c>
    </row>
    <row r="18">
      <c r="A18" t="inlineStr">
        <is>
          <t>Management Reserve (15%) (PD)</t>
        </is>
      </c>
      <c r="B18">
        <f>B17*0.15</f>
        <v/>
      </c>
    </row>
    <row r="19">
      <c r="A19" t="inlineStr">
        <is>
          <t>Medium Band (recommended)</t>
        </is>
      </c>
      <c r="B19">
        <f>B17+B18</f>
        <v/>
      </c>
    </row>
    <row r="20">
      <c r="A20" t="inlineStr">
        <is>
          <t>High Band</t>
        </is>
      </c>
      <c r="B20">
        <f>B19*(1+0.12)</f>
        <v/>
      </c>
    </row>
    <row r="21">
      <c r="A21" t="inlineStr">
        <is>
          <t>Total Billable Effort (PD)</t>
        </is>
      </c>
      <c r="B21">
        <f>WBS!S66</f>
        <v/>
      </c>
    </row>
    <row r="22">
      <c r="A22" t="inlineStr">
        <is>
          <t>Billable Ratio</t>
        </is>
      </c>
      <c r="B22">
        <f>B21/B12</f>
        <v/>
      </c>
    </row>
    <row r="24">
      <c r="A24" t="inlineStr">
        <is>
          <t>Calendar Duration (weeks)</t>
        </is>
      </c>
      <c r="B24" s="22" t="n">
        <v>55</v>
      </c>
    </row>
    <row r="26">
      <c r="A26" s="23" t="inlineStr">
        <is>
          <t>Effort by Team (PD)</t>
        </is>
      </c>
    </row>
    <row r="27">
      <c r="A27" t="inlineStr">
        <is>
          <t>Development</t>
        </is>
      </c>
      <c r="B27" s="16" t="n">
        <v>198.3333333333334</v>
      </c>
    </row>
    <row r="28">
      <c r="A28" t="inlineStr">
        <is>
          <t>Management</t>
        </is>
      </c>
      <c r="B28" s="16" t="n">
        <v>70.16666666666667</v>
      </c>
    </row>
    <row r="29">
      <c r="A29" t="inlineStr">
        <is>
          <t>Operations</t>
        </is>
      </c>
      <c r="B29" s="16" t="n">
        <v>52.66666666666666</v>
      </c>
    </row>
    <row r="31">
      <c r="A31" s="23" t="inlineStr">
        <is>
          <t>Sensitivity Scenarios</t>
        </is>
      </c>
    </row>
    <row r="32">
      <c r="A32" t="inlineStr">
        <is>
          <t>Optimistic: ~85% of Fascia MEDIA — best-case execution for 2-erp-migration</t>
        </is>
      </c>
    </row>
    <row r="33">
      <c r="A33" t="inlineStr">
        <is>
          <t>Realistic: Fascia MEDIA — current best estimate including overhead and MR</t>
        </is>
      </c>
    </row>
    <row r="34">
      <c r="A34" t="inlineStr">
        <is>
          <t>Pessimistic: ~115% of Fascia MEDIA — material slippage on critical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2026-09-29T17:41:17Z</dcterms:created>
  <dcterms:modified xmlns:dcterms="http://purl.org/dc/terms/" xmlns:xsi="http://www.w3.org/2001/XMLSchema-instance" xsi:type="dcterms:W3CDTF">2026-09-29T17:41:17Z</dcterms:modified>
</cp:coreProperties>
</file>