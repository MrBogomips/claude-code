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Pianificazione Risorse" sheetId="2" state="visible" r:id="rId2"/>
    <sheet xmlns:r="http://schemas.openxmlformats.org/officeDocument/2006/relationships" name="Rischi" sheetId="3" state="visible" r:id="rId3"/>
    <sheet xmlns:r="http://schemas.openxmlformats.org/officeDocument/2006/relationships" name="Riepi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9C0006"/>
    </font>
    <font>
      <b val="1"/>
      <color rgb="FFFF0000"/>
    </font>
  </fonts>
  <fills count="7">
    <fill>
      <patternFill/>
    </fill>
    <fill>
      <patternFill patternType="gray125"/>
    </fill>
    <fill>
      <patternFill patternType="solid">
        <fgColor rgb="FF1B4FA5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4" fontId="0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F0</t>
        </is>
      </c>
      <c r="B2" s="2" t="inlineStr">
        <is>
          <t>Setup &amp; Discovery</t>
        </is>
      </c>
      <c r="C2" s="2" t="n"/>
      <c r="D2" s="2" t="n"/>
      <c r="E2" s="3">
        <f>SUM(E4,E5,E7)</f>
        <v/>
      </c>
      <c r="F2" s="3">
        <f>SUM(F4,F5,F7)</f>
        <v/>
      </c>
      <c r="G2" s="3">
        <f>SUM(G4,G5,G7)</f>
        <v/>
      </c>
      <c r="H2" s="4">
        <f>(E2+4*F2+G2)/6</f>
        <v/>
      </c>
      <c r="I2" s="3">
        <f>SUM(I4,I5,I7)</f>
        <v/>
      </c>
      <c r="J2" s="3">
        <f>SUM(J4,J5,J7)</f>
        <v/>
      </c>
      <c r="K2" s="3">
        <f>SUM(K4,K5,K7)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SUM(S4,S5,S7)</f>
        <v/>
      </c>
    </row>
    <row r="3">
      <c r="A3" s="5" t="inlineStr">
        <is>
          <t>F0.1</t>
        </is>
      </c>
      <c r="B3" s="5" t="n"/>
      <c r="C3" s="5" t="inlineStr">
        <is>
          <t>Project setup</t>
        </is>
      </c>
      <c r="D3" s="5" t="n"/>
      <c r="E3" s="6">
        <f>SUM(E4:E5)</f>
        <v/>
      </c>
      <c r="F3" s="6">
        <f>SUM(F4:F5)</f>
        <v/>
      </c>
      <c r="G3" s="6">
        <f>SUM(G4:G5)</f>
        <v/>
      </c>
      <c r="H3" s="7">
        <f>(E3+4*F3+G3)/6</f>
        <v/>
      </c>
      <c r="I3" s="6">
        <f>SUM(I4:I5)</f>
        <v/>
      </c>
      <c r="J3" s="6">
        <f>SUM(J4:J5)</f>
        <v/>
      </c>
      <c r="K3" s="6">
        <f>SUM(K4:K5)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SUM(S4:S5)</f>
        <v/>
      </c>
    </row>
    <row r="4">
      <c r="A4" s="8" t="inlineStr">
        <is>
          <t>F0.1.1</t>
        </is>
      </c>
      <c r="B4" s="8" t="n"/>
      <c r="C4" s="8" t="n"/>
      <c r="D4" s="8" t="inlineStr">
        <is>
          <t>Kickoff and governance setup</t>
        </is>
      </c>
      <c r="E4" s="9" t="n">
        <v>2</v>
      </c>
      <c r="F4" s="9" t="n">
        <v>3</v>
      </c>
      <c r="G4" s="9" t="n">
        <v>5</v>
      </c>
      <c r="H4" s="10">
        <f>(E4+4*F4+G4)/6</f>
        <v/>
      </c>
      <c r="I4" s="9" t="n">
        <v>2</v>
      </c>
      <c r="J4" s="9" t="n">
        <v>3</v>
      </c>
      <c r="K4" s="9" t="n">
        <v>5</v>
      </c>
      <c r="L4" s="10">
        <f>(I4+4*J4+K4)/6</f>
        <v/>
      </c>
      <c r="M4" s="10">
        <f>(K4-I4)/6</f>
        <v/>
      </c>
      <c r="N4" s="8" t="inlineStr">
        <is>
          <t>PM, BA</t>
        </is>
      </c>
      <c r="O4" s="8" t="inlineStr"/>
      <c r="P4" s="8" t="inlineStr"/>
      <c r="Q4" s="8" t="inlineStr"/>
      <c r="R4" s="8" t="inlineStr">
        <is>
          <t>Y</t>
        </is>
      </c>
      <c r="S4" s="10">
        <f>IF(R4="Y",H4,0)</f>
        <v/>
      </c>
    </row>
    <row r="5">
      <c r="A5" s="8" t="inlineStr">
        <is>
          <t>F0.1.2</t>
        </is>
      </c>
      <c r="B5" s="8" t="n"/>
      <c r="C5" s="8" t="n"/>
      <c r="D5" s="8" t="inlineStr">
        <is>
          <t>Environment &amp; access checklist</t>
        </is>
      </c>
      <c r="E5" s="9" t="n">
        <v>1</v>
      </c>
      <c r="F5" s="9" t="n">
        <v>2</v>
      </c>
      <c r="G5" s="9" t="n">
        <v>3</v>
      </c>
      <c r="H5" s="10">
        <f>(E5+4*F5+G5)/6</f>
        <v/>
      </c>
      <c r="I5" s="9" t="n">
        <v>1</v>
      </c>
      <c r="J5" s="9" t="n">
        <v>2</v>
      </c>
      <c r="K5" s="9" t="n">
        <v>3</v>
      </c>
      <c r="L5" s="10">
        <f>(I5+4*J5+K5)/6</f>
        <v/>
      </c>
      <c r="M5" s="10">
        <f>(K5-I5)/6</f>
        <v/>
      </c>
      <c r="N5" s="8" t="inlineStr">
        <is>
          <t>DEVOPS, TA</t>
        </is>
      </c>
      <c r="O5" s="8" t="inlineStr"/>
      <c r="P5" s="8" t="inlineStr">
        <is>
          <t>R1</t>
        </is>
      </c>
      <c r="Q5" s="8" t="inlineStr"/>
      <c r="R5" s="8" t="inlineStr">
        <is>
          <t>Y</t>
        </is>
      </c>
      <c r="S5" s="10">
        <f>IF(R5="Y",H5,0)</f>
        <v/>
      </c>
    </row>
    <row r="6">
      <c r="A6" s="5" t="inlineStr">
        <is>
          <t>F0.2</t>
        </is>
      </c>
      <c r="B6" s="5" t="n"/>
      <c r="C6" s="5" t="inlineStr">
        <is>
          <t>Requirements freeze</t>
        </is>
      </c>
      <c r="D6" s="5" t="n"/>
      <c r="E6" s="6">
        <f>SUM(E7:E7)</f>
        <v/>
      </c>
      <c r="F6" s="6">
        <f>SUM(F7:F7)</f>
        <v/>
      </c>
      <c r="G6" s="6">
        <f>SUM(G7:G7)</f>
        <v/>
      </c>
      <c r="H6" s="7">
        <f>(E6+4*F6+G6)/6</f>
        <v/>
      </c>
      <c r="I6" s="6">
        <f>SUM(I7:I7)</f>
        <v/>
      </c>
      <c r="J6" s="6">
        <f>SUM(J7:J7)</f>
        <v/>
      </c>
      <c r="K6" s="6">
        <f>SUM(K7:K7)</f>
        <v/>
      </c>
      <c r="L6" s="7">
        <f>(I6+4*J6+K6)/6</f>
        <v/>
      </c>
      <c r="M6" s="7">
        <f>(K6-I6)/6</f>
        <v/>
      </c>
      <c r="N6" s="5" t="n"/>
      <c r="O6" s="5" t="n"/>
      <c r="P6" s="5" t="n"/>
      <c r="Q6" s="5" t="n"/>
      <c r="R6" s="5" t="n"/>
      <c r="S6" s="7">
        <f>SUM(S7:S7)</f>
        <v/>
      </c>
    </row>
    <row r="7">
      <c r="A7" s="8" t="inlineStr">
        <is>
          <t>F0.2.1</t>
        </is>
      </c>
      <c r="B7" s="8" t="n"/>
      <c r="C7" s="8" t="n"/>
      <c r="D7" s="8" t="inlineStr">
        <is>
          <t>Requirements consolidation</t>
        </is>
      </c>
      <c r="E7" s="9" t="n">
        <v>3</v>
      </c>
      <c r="F7" s="9" t="n">
        <v>5</v>
      </c>
      <c r="G7" s="9" t="n">
        <v>8</v>
      </c>
      <c r="H7" s="10">
        <f>(E7+4*F7+G7)/6</f>
        <v/>
      </c>
      <c r="I7" s="9" t="n">
        <v>3</v>
      </c>
      <c r="J7" s="9" t="n">
        <v>5</v>
      </c>
      <c r="K7" s="9" t="n">
        <v>8</v>
      </c>
      <c r="L7" s="10">
        <f>(I7+4*J7+K7)/6</f>
        <v/>
      </c>
      <c r="M7" s="10">
        <f>(K7-I7)/6</f>
        <v/>
      </c>
      <c r="N7" s="8" t="inlineStr">
        <is>
          <t>BA, PM</t>
        </is>
      </c>
      <c r="O7" s="8" t="inlineStr">
        <is>
          <t>F0.1.1</t>
        </is>
      </c>
      <c r="P7" s="8" t="inlineStr">
        <is>
          <t>R2</t>
        </is>
      </c>
      <c r="Q7" s="8" t="inlineStr"/>
      <c r="R7" s="8" t="inlineStr">
        <is>
          <t>Y</t>
        </is>
      </c>
      <c r="S7" s="10">
        <f>IF(R7="Y",H7,0)</f>
        <v/>
      </c>
    </row>
    <row r="8">
      <c r="A8" s="2" t="inlineStr">
        <is>
          <t>F1</t>
        </is>
      </c>
      <c r="B8" s="2" t="inlineStr">
        <is>
          <t>UX &amp; Functional Design</t>
        </is>
      </c>
      <c r="C8" s="2" t="n"/>
      <c r="D8" s="2" t="n"/>
      <c r="E8" s="3">
        <f>SUM(E10,E11,E13)</f>
        <v/>
      </c>
      <c r="F8" s="3">
        <f>SUM(F10,F11,F13)</f>
        <v/>
      </c>
      <c r="G8" s="3">
        <f>SUM(G10,G11,G13)</f>
        <v/>
      </c>
      <c r="H8" s="4">
        <f>(E8+4*F8+G8)/6</f>
        <v/>
      </c>
      <c r="I8" s="3">
        <f>SUM(I10,I11,I13)</f>
        <v/>
      </c>
      <c r="J8" s="3">
        <f>SUM(J10,J11,J13)</f>
        <v/>
      </c>
      <c r="K8" s="3">
        <f>SUM(K10,K11,K13)</f>
        <v/>
      </c>
      <c r="L8" s="4">
        <f>(I8+4*J8+K8)/6</f>
        <v/>
      </c>
      <c r="M8" s="4">
        <f>(K8-I8)/6</f>
        <v/>
      </c>
      <c r="N8" s="2" t="n"/>
      <c r="O8" s="2" t="n"/>
      <c r="P8" s="2" t="n"/>
      <c r="Q8" s="2" t="n"/>
      <c r="R8" s="2" t="n"/>
      <c r="S8" s="4">
        <f>SUM(S10,S11,S13)</f>
        <v/>
      </c>
    </row>
    <row r="9">
      <c r="A9" s="5" t="inlineStr">
        <is>
          <t>F1.1</t>
        </is>
      </c>
      <c r="B9" s="5" t="n"/>
      <c r="C9" s="5" t="inlineStr">
        <is>
          <t>UX</t>
        </is>
      </c>
      <c r="D9" s="5" t="n"/>
      <c r="E9" s="6">
        <f>SUM(E10:E11)</f>
        <v/>
      </c>
      <c r="F9" s="6">
        <f>SUM(F10:F11)</f>
        <v/>
      </c>
      <c r="G9" s="6">
        <f>SUM(G10:G11)</f>
        <v/>
      </c>
      <c r="H9" s="7">
        <f>(E9+4*F9+G9)/6</f>
        <v/>
      </c>
      <c r="I9" s="6">
        <f>SUM(I10:I11)</f>
        <v/>
      </c>
      <c r="J9" s="6">
        <f>SUM(J10:J11)</f>
        <v/>
      </c>
      <c r="K9" s="6">
        <f>SUM(K10:K11)</f>
        <v/>
      </c>
      <c r="L9" s="7">
        <f>(I9+4*J9+K9)/6</f>
        <v/>
      </c>
      <c r="M9" s="7">
        <f>(K9-I9)/6</f>
        <v/>
      </c>
      <c r="N9" s="5" t="n"/>
      <c r="O9" s="5" t="n"/>
      <c r="P9" s="5" t="n"/>
      <c r="Q9" s="5" t="n"/>
      <c r="R9" s="5" t="n"/>
      <c r="S9" s="7">
        <f>SUM(S10:S11)</f>
        <v/>
      </c>
    </row>
    <row r="10">
      <c r="A10" s="8" t="inlineStr">
        <is>
          <t>F1.1.1</t>
        </is>
      </c>
      <c r="B10" s="8" t="n"/>
      <c r="C10" s="8" t="n"/>
      <c r="D10" s="8" t="inlineStr">
        <is>
          <t>User journeys and wireframes</t>
        </is>
      </c>
      <c r="E10" s="9" t="n">
        <v>6</v>
      </c>
      <c r="F10" s="9" t="n">
        <v>10</v>
      </c>
      <c r="G10" s="9" t="n">
        <v>15</v>
      </c>
      <c r="H10" s="10">
        <f>(E10+4*F10+G10)/6</f>
        <v/>
      </c>
      <c r="I10" s="9" t="n">
        <v>5</v>
      </c>
      <c r="J10" s="9" t="n">
        <v>8</v>
      </c>
      <c r="K10" s="9" t="n">
        <v>12</v>
      </c>
      <c r="L10" s="10">
        <f>(I10+4*J10+K10)/6</f>
        <v/>
      </c>
      <c r="M10" s="10">
        <f>(K10-I10)/6</f>
        <v/>
      </c>
      <c r="N10" s="8" t="inlineStr">
        <is>
          <t>UX, BA</t>
        </is>
      </c>
      <c r="O10" s="8" t="inlineStr">
        <is>
          <t>F0.2.1</t>
        </is>
      </c>
      <c r="P10" s="8" t="inlineStr">
        <is>
          <t>R3</t>
        </is>
      </c>
      <c r="Q10" s="8" t="inlineStr"/>
      <c r="R10" s="8" t="inlineStr">
        <is>
          <t>Y</t>
        </is>
      </c>
      <c r="S10" s="10">
        <f>IF(R10="Y",H10,0)</f>
        <v/>
      </c>
    </row>
    <row r="11">
      <c r="A11" s="8" t="inlineStr">
        <is>
          <t>F1.1.2</t>
        </is>
      </c>
      <c r="B11" s="8" t="n"/>
      <c r="C11" s="8" t="n"/>
      <c r="D11" s="8" t="inlineStr">
        <is>
          <t>Accessibility design review</t>
        </is>
      </c>
      <c r="E11" s="9" t="n">
        <v>2</v>
      </c>
      <c r="F11" s="9" t="n">
        <v>3</v>
      </c>
      <c r="G11" s="9" t="n">
        <v>5</v>
      </c>
      <c r="H11" s="10">
        <f>(E11+4*F11+G11)/6</f>
        <v/>
      </c>
      <c r="I11" s="9" t="n">
        <v>2</v>
      </c>
      <c r="J11" s="9" t="n">
        <v>3</v>
      </c>
      <c r="K11" s="9" t="n">
        <v>5</v>
      </c>
      <c r="L11" s="10">
        <f>(I11+4*J11+K11)/6</f>
        <v/>
      </c>
      <c r="M11" s="10">
        <f>(K11-I11)/6</f>
        <v/>
      </c>
      <c r="N11" s="8" t="inlineStr">
        <is>
          <t>UX, QA</t>
        </is>
      </c>
      <c r="O11" s="8" t="inlineStr">
        <is>
          <t>F1.1.1</t>
        </is>
      </c>
      <c r="P11" s="8" t="inlineStr"/>
      <c r="Q11" s="8" t="inlineStr"/>
      <c r="R11" s="8" t="inlineStr">
        <is>
          <t>Y</t>
        </is>
      </c>
      <c r="S11" s="10">
        <f>IF(R11="Y",H11,0)</f>
        <v/>
      </c>
    </row>
    <row r="12">
      <c r="A12" s="5" t="inlineStr">
        <is>
          <t>F1.2</t>
        </is>
      </c>
      <c r="B12" s="5" t="n"/>
      <c r="C12" s="5" t="inlineStr">
        <is>
          <t>Functional design</t>
        </is>
      </c>
      <c r="D12" s="5" t="n"/>
      <c r="E12" s="6">
        <f>SUM(E13:E13)</f>
        <v/>
      </c>
      <c r="F12" s="6">
        <f>SUM(F13:F13)</f>
        <v/>
      </c>
      <c r="G12" s="6">
        <f>SUM(G13:G13)</f>
        <v/>
      </c>
      <c r="H12" s="7">
        <f>(E12+4*F12+G12)/6</f>
        <v/>
      </c>
      <c r="I12" s="6">
        <f>SUM(I13:I13)</f>
        <v/>
      </c>
      <c r="J12" s="6">
        <f>SUM(J13:J13)</f>
        <v/>
      </c>
      <c r="K12" s="6">
        <f>SUM(K13:K13)</f>
        <v/>
      </c>
      <c r="L12" s="7">
        <f>(I12+4*J12+K12)/6</f>
        <v/>
      </c>
      <c r="M12" s="7">
        <f>(K12-I12)/6</f>
        <v/>
      </c>
      <c r="N12" s="5" t="n"/>
      <c r="O12" s="5" t="n"/>
      <c r="P12" s="5" t="n"/>
      <c r="Q12" s="5" t="n"/>
      <c r="R12" s="5" t="n"/>
      <c r="S12" s="7">
        <f>SUM(S13:S13)</f>
        <v/>
      </c>
    </row>
    <row r="13">
      <c r="A13" s="8" t="inlineStr">
        <is>
          <t>F1.2.1</t>
        </is>
      </c>
      <c r="B13" s="8" t="n"/>
      <c r="C13" s="8" t="n"/>
      <c r="D13" s="8" t="inlineStr">
        <is>
          <t>API &amp; data contract design</t>
        </is>
      </c>
      <c r="E13" s="9" t="n">
        <v>4</v>
      </c>
      <c r="F13" s="9" t="n">
        <v>7</v>
      </c>
      <c r="G13" s="9" t="n">
        <v>10</v>
      </c>
      <c r="H13" s="10">
        <f>(E13+4*F13+G13)/6</f>
        <v/>
      </c>
      <c r="I13" s="9" t="n">
        <v>3</v>
      </c>
      <c r="J13" s="9" t="n">
        <v>5</v>
      </c>
      <c r="K13" s="9" t="n">
        <v>8</v>
      </c>
      <c r="L13" s="10">
        <f>(I13+4*J13+K13)/6</f>
        <v/>
      </c>
      <c r="M13" s="10">
        <f>(K13-I13)/6</f>
        <v/>
      </c>
      <c r="N13" s="8" t="inlineStr">
        <is>
          <t>TA, BE</t>
        </is>
      </c>
      <c r="O13" s="8" t="inlineStr">
        <is>
          <t>F0.2.1</t>
        </is>
      </c>
      <c r="P13" s="8" t="inlineStr">
        <is>
          <t>R4</t>
        </is>
      </c>
      <c r="Q13" s="8" t="inlineStr"/>
      <c r="R13" s="8" t="inlineStr">
        <is>
          <t>Y</t>
        </is>
      </c>
      <c r="S13" s="10">
        <f>IF(R13="Y",H13,0)</f>
        <v/>
      </c>
    </row>
    <row r="14">
      <c r="A14" s="2" t="inlineStr">
        <is>
          <t>F2</t>
        </is>
      </c>
      <c r="B14" s="2" t="inlineStr">
        <is>
          <t>Core Build</t>
        </is>
      </c>
      <c r="C14" s="2" t="n"/>
      <c r="D14" s="2" t="n"/>
      <c r="E14" s="3">
        <f>SUM(E16,E18)</f>
        <v/>
      </c>
      <c r="F14" s="3">
        <f>SUM(F16,F18)</f>
        <v/>
      </c>
      <c r="G14" s="3">
        <f>SUM(G16,G18)</f>
        <v/>
      </c>
      <c r="H14" s="4">
        <f>(E14+4*F14+G14)/6</f>
        <v/>
      </c>
      <c r="I14" s="3">
        <f>SUM(I16,I18)</f>
        <v/>
      </c>
      <c r="J14" s="3">
        <f>SUM(J16,J18)</f>
        <v/>
      </c>
      <c r="K14" s="3">
        <f>SUM(K16,K18)</f>
        <v/>
      </c>
      <c r="L14" s="4">
        <f>(I14+4*J14+K14)/6</f>
        <v/>
      </c>
      <c r="M14" s="4">
        <f>(K14-I14)/6</f>
        <v/>
      </c>
      <c r="N14" s="2" t="n"/>
      <c r="O14" s="2" t="n"/>
      <c r="P14" s="2" t="n"/>
      <c r="Q14" s="2" t="n"/>
      <c r="R14" s="2" t="n"/>
      <c r="S14" s="4">
        <f>SUM(S16,S18)</f>
        <v/>
      </c>
    </row>
    <row r="15">
      <c r="A15" s="5" t="inlineStr">
        <is>
          <t>F2.1</t>
        </is>
      </c>
      <c r="B15" s="5" t="n"/>
      <c r="C15" s="5" t="inlineStr">
        <is>
          <t>Back-end</t>
        </is>
      </c>
      <c r="D15" s="5" t="n"/>
      <c r="E15" s="6">
        <f>SUM(E16:E16)</f>
        <v/>
      </c>
      <c r="F15" s="6">
        <f>SUM(F16:F16)</f>
        <v/>
      </c>
      <c r="G15" s="6">
        <f>SUM(G16:G16)</f>
        <v/>
      </c>
      <c r="H15" s="7">
        <f>(E15+4*F15+G15)/6</f>
        <v/>
      </c>
      <c r="I15" s="6">
        <f>SUM(I16:I16)</f>
        <v/>
      </c>
      <c r="J15" s="6">
        <f>SUM(J16:J16)</f>
        <v/>
      </c>
      <c r="K15" s="6">
        <f>SUM(K16:K16)</f>
        <v/>
      </c>
      <c r="L15" s="7">
        <f>(I15+4*J15+K15)/6</f>
        <v/>
      </c>
      <c r="M15" s="7">
        <f>(K15-I15)/6</f>
        <v/>
      </c>
      <c r="N15" s="5" t="n"/>
      <c r="O15" s="5" t="n"/>
      <c r="P15" s="5" t="n"/>
      <c r="Q15" s="5" t="n"/>
      <c r="R15" s="5" t="n"/>
      <c r="S15" s="7">
        <f>SUM(S16:S16)</f>
        <v/>
      </c>
    </row>
    <row r="16">
      <c r="A16" s="8" t="inlineStr">
        <is>
          <t>F2.1.1</t>
        </is>
      </c>
      <c r="B16" s="8" t="n"/>
      <c r="C16" s="8" t="n"/>
      <c r="D16" s="8" t="inlineStr">
        <is>
          <t>Back-end services and business logic</t>
        </is>
      </c>
      <c r="E16" s="9" t="n">
        <v>20</v>
      </c>
      <c r="F16" s="9" t="n">
        <v>30</v>
      </c>
      <c r="G16" s="9" t="n">
        <v>45</v>
      </c>
      <c r="H16" s="10">
        <f>(E16+4*F16+G16)/6</f>
        <v/>
      </c>
      <c r="I16" s="9" t="n">
        <v>20</v>
      </c>
      <c r="J16" s="9" t="n">
        <v>30</v>
      </c>
      <c r="K16" s="9" t="n">
        <v>45</v>
      </c>
      <c r="L16" s="10">
        <f>(I16+4*J16+K16)/6</f>
        <v/>
      </c>
      <c r="M16" s="10">
        <f>(K16-I16)/6</f>
        <v/>
      </c>
      <c r="N16" s="8" t="inlineStr">
        <is>
          <t>BE, TA</t>
        </is>
      </c>
      <c r="O16" s="8" t="inlineStr">
        <is>
          <t>F1.2.1</t>
        </is>
      </c>
      <c r="P16" s="8" t="inlineStr">
        <is>
          <t>R4, R5</t>
        </is>
      </c>
      <c r="Q16" s="8" t="inlineStr"/>
      <c r="R16" s="8" t="inlineStr">
        <is>
          <t>Y</t>
        </is>
      </c>
      <c r="S16" s="10">
        <f>IF(R16="Y",H16,0)</f>
        <v/>
      </c>
    </row>
    <row r="17">
      <c r="A17" s="5" t="inlineStr">
        <is>
          <t>F2.2</t>
        </is>
      </c>
      <c r="B17" s="5" t="n"/>
      <c r="C17" s="5" t="inlineStr">
        <is>
          <t>Front-end</t>
        </is>
      </c>
      <c r="D17" s="5" t="n"/>
      <c r="E17" s="6">
        <f>SUM(E18:E18)</f>
        <v/>
      </c>
      <c r="F17" s="6">
        <f>SUM(F18:F18)</f>
        <v/>
      </c>
      <c r="G17" s="6">
        <f>SUM(G18:G18)</f>
        <v/>
      </c>
      <c r="H17" s="7">
        <f>(E17+4*F17+G17)/6</f>
        <v/>
      </c>
      <c r="I17" s="6">
        <f>SUM(I18:I18)</f>
        <v/>
      </c>
      <c r="J17" s="6">
        <f>SUM(J18:J18)</f>
        <v/>
      </c>
      <c r="K17" s="6">
        <f>SUM(K18:K18)</f>
        <v/>
      </c>
      <c r="L17" s="7">
        <f>(I17+4*J17+K17)/6</f>
        <v/>
      </c>
      <c r="M17" s="7">
        <f>(K17-I17)/6</f>
        <v/>
      </c>
      <c r="N17" s="5" t="n"/>
      <c r="O17" s="5" t="n"/>
      <c r="P17" s="5" t="n"/>
      <c r="Q17" s="5" t="n"/>
      <c r="R17" s="5" t="n"/>
      <c r="S17" s="7">
        <f>SUM(S18:S18)</f>
        <v/>
      </c>
    </row>
    <row r="18">
      <c r="A18" s="8" t="inlineStr">
        <is>
          <t>F2.2.1</t>
        </is>
      </c>
      <c r="B18" s="8" t="n"/>
      <c r="C18" s="8" t="n"/>
      <c r="D18" s="8" t="inlineStr">
        <is>
          <t>Front-end implementation</t>
        </is>
      </c>
      <c r="E18" s="9" t="n">
        <v>18</v>
      </c>
      <c r="F18" s="9" t="n">
        <v>28</v>
      </c>
      <c r="G18" s="9" t="n">
        <v>40</v>
      </c>
      <c r="H18" s="10">
        <f>(E18+4*F18+G18)/6</f>
        <v/>
      </c>
      <c r="I18" s="9" t="n">
        <v>18</v>
      </c>
      <c r="J18" s="9" t="n">
        <v>28</v>
      </c>
      <c r="K18" s="9" t="n">
        <v>40</v>
      </c>
      <c r="L18" s="10">
        <f>(I18+4*J18+K18)/6</f>
        <v/>
      </c>
      <c r="M18" s="10">
        <f>(K18-I18)/6</f>
        <v/>
      </c>
      <c r="N18" s="8" t="inlineStr">
        <is>
          <t>FE, UX</t>
        </is>
      </c>
      <c r="O18" s="8" t="inlineStr">
        <is>
          <t>F1.1.2, F1.2.1</t>
        </is>
      </c>
      <c r="P18" s="8" t="inlineStr">
        <is>
          <t>R3</t>
        </is>
      </c>
      <c r="Q18" s="8" t="inlineStr"/>
      <c r="R18" s="8" t="inlineStr">
        <is>
          <t>Y</t>
        </is>
      </c>
      <c r="S18" s="10">
        <f>IF(R18="Y",H18,0)</f>
        <v/>
      </c>
    </row>
    <row r="19">
      <c r="A19" s="2" t="inlineStr">
        <is>
          <t>F3</t>
        </is>
      </c>
      <c r="B19" s="2" t="inlineStr">
        <is>
          <t>Integrations</t>
        </is>
      </c>
      <c r="C19" s="2" t="n"/>
      <c r="D19" s="2" t="n"/>
      <c r="E19" s="3">
        <f>SUM(E21,E23,E25)</f>
        <v/>
      </c>
      <c r="F19" s="3">
        <f>SUM(F21,F23,F25)</f>
        <v/>
      </c>
      <c r="G19" s="3">
        <f>SUM(G21,G23,G25)</f>
        <v/>
      </c>
      <c r="H19" s="4">
        <f>(E19+4*F19+G19)/6</f>
        <v/>
      </c>
      <c r="I19" s="3">
        <f>SUM(I21,I23,I25)</f>
        <v/>
      </c>
      <c r="J19" s="3">
        <f>SUM(J21,J23,J25)</f>
        <v/>
      </c>
      <c r="K19" s="3">
        <f>SUM(K21,K23,K25)</f>
        <v/>
      </c>
      <c r="L19" s="4">
        <f>(I19+4*J19+K19)/6</f>
        <v/>
      </c>
      <c r="M19" s="4">
        <f>(K19-I19)/6</f>
        <v/>
      </c>
      <c r="N19" s="2" t="n"/>
      <c r="O19" s="2" t="n"/>
      <c r="P19" s="2" t="n"/>
      <c r="Q19" s="2" t="n"/>
      <c r="R19" s="2" t="n"/>
      <c r="S19" s="4">
        <f>SUM(S21,S23,S25)</f>
        <v/>
      </c>
    </row>
    <row r="20">
      <c r="A20" s="5" t="inlineStr">
        <is>
          <t>F3.1</t>
        </is>
      </c>
      <c r="B20" s="5" t="n"/>
      <c r="C20" s="5" t="inlineStr">
        <is>
          <t>Registry integration</t>
        </is>
      </c>
      <c r="D20" s="5" t="n"/>
      <c r="E20" s="6">
        <f>SUM(E21:E21)</f>
        <v/>
      </c>
      <c r="F20" s="6">
        <f>SUM(F21:F21)</f>
        <v/>
      </c>
      <c r="G20" s="6">
        <f>SUM(G21:G21)</f>
        <v/>
      </c>
      <c r="H20" s="7">
        <f>(E20+4*F20+G20)/6</f>
        <v/>
      </c>
      <c r="I20" s="6">
        <f>SUM(I21:I21)</f>
        <v/>
      </c>
      <c r="J20" s="6">
        <f>SUM(J21:J21)</f>
        <v/>
      </c>
      <c r="K20" s="6">
        <f>SUM(K21:K21)</f>
        <v/>
      </c>
      <c r="L20" s="7">
        <f>(I20+4*J20+K20)/6</f>
        <v/>
      </c>
      <c r="M20" s="7">
        <f>(K20-I20)/6</f>
        <v/>
      </c>
      <c r="N20" s="5" t="n"/>
      <c r="O20" s="5" t="n"/>
      <c r="P20" s="5" t="n"/>
      <c r="Q20" s="5" t="n"/>
      <c r="R20" s="5" t="n"/>
      <c r="S20" s="7">
        <f>SUM(S21:S21)</f>
        <v/>
      </c>
    </row>
    <row r="21">
      <c r="A21" s="8" t="inlineStr">
        <is>
          <t>F3.1.1</t>
        </is>
      </c>
      <c r="B21" s="8" t="n"/>
      <c r="C21" s="8" t="n"/>
      <c r="D21" s="8" t="inlineStr">
        <is>
          <t>Registry integration</t>
        </is>
      </c>
      <c r="E21" s="9" t="n">
        <v>6</v>
      </c>
      <c r="F21" s="9" t="n">
        <v>10</v>
      </c>
      <c r="G21" s="9" t="n">
        <v>15</v>
      </c>
      <c r="H21" s="10">
        <f>(E21+4*F21+G21)/6</f>
        <v/>
      </c>
      <c r="I21" s="9" t="n">
        <v>6</v>
      </c>
      <c r="J21" s="9" t="n">
        <v>10</v>
      </c>
      <c r="K21" s="9" t="n">
        <v>15</v>
      </c>
      <c r="L21" s="10">
        <f>(I21+4*J21+K21)/6</f>
        <v/>
      </c>
      <c r="M21" s="10">
        <f>(K21-I21)/6</f>
        <v/>
      </c>
      <c r="N21" s="8" t="inlineStr">
        <is>
          <t>INT, BE</t>
        </is>
      </c>
      <c r="O21" s="8" t="inlineStr">
        <is>
          <t>F1.2.1</t>
        </is>
      </c>
      <c r="P21" s="8" t="inlineStr">
        <is>
          <t>R5, R6</t>
        </is>
      </c>
      <c r="Q21" s="8" t="inlineStr"/>
      <c r="R21" s="8" t="inlineStr">
        <is>
          <t>Y</t>
        </is>
      </c>
      <c r="S21" s="10">
        <f>IF(R21="Y",H21,0)</f>
        <v/>
      </c>
    </row>
    <row r="22">
      <c r="A22" s="5" t="inlineStr">
        <is>
          <t>F3.2</t>
        </is>
      </c>
      <c r="B22" s="5" t="n"/>
      <c r="C22" s="5" t="inlineStr">
        <is>
          <t>Payments integration</t>
        </is>
      </c>
      <c r="D22" s="5" t="n"/>
      <c r="E22" s="6">
        <f>SUM(E23:E23)</f>
        <v/>
      </c>
      <c r="F22" s="6">
        <f>SUM(F23:F23)</f>
        <v/>
      </c>
      <c r="G22" s="6">
        <f>SUM(G23:G23)</f>
        <v/>
      </c>
      <c r="H22" s="7">
        <f>(E22+4*F22+G22)/6</f>
        <v/>
      </c>
      <c r="I22" s="6">
        <f>SUM(I23:I23)</f>
        <v/>
      </c>
      <c r="J22" s="6">
        <f>SUM(J23:J23)</f>
        <v/>
      </c>
      <c r="K22" s="6">
        <f>SUM(K23:K23)</f>
        <v/>
      </c>
      <c r="L22" s="7">
        <f>(I22+4*J22+K22)/6</f>
        <v/>
      </c>
      <c r="M22" s="7">
        <f>(K22-I22)/6</f>
        <v/>
      </c>
      <c r="N22" s="5" t="n"/>
      <c r="O22" s="5" t="n"/>
      <c r="P22" s="5" t="n"/>
      <c r="Q22" s="5" t="n"/>
      <c r="R22" s="5" t="n"/>
      <c r="S22" s="7">
        <f>SUM(S23:S23)</f>
        <v/>
      </c>
    </row>
    <row r="23">
      <c r="A23" s="8" t="inlineStr">
        <is>
          <t>F3.2.1</t>
        </is>
      </c>
      <c r="B23" s="8" t="n"/>
      <c r="C23" s="8" t="n"/>
      <c r="D23" s="8" t="inlineStr">
        <is>
          <t>Payments integration</t>
        </is>
      </c>
      <c r="E23" s="9" t="n">
        <v>7</v>
      </c>
      <c r="F23" s="9" t="n">
        <v>12</v>
      </c>
      <c r="G23" s="9" t="n">
        <v>18</v>
      </c>
      <c r="H23" s="10">
        <f>(E23+4*F23+G23)/6</f>
        <v/>
      </c>
      <c r="I23" s="9" t="n">
        <v>7</v>
      </c>
      <c r="J23" s="9" t="n">
        <v>12</v>
      </c>
      <c r="K23" s="9" t="n">
        <v>18</v>
      </c>
      <c r="L23" s="10">
        <f>(I23+4*J23+K23)/6</f>
        <v/>
      </c>
      <c r="M23" s="10">
        <f>(K23-I23)/6</f>
        <v/>
      </c>
      <c r="N23" s="8" t="inlineStr">
        <is>
          <t>INT, BE</t>
        </is>
      </c>
      <c r="O23" s="8" t="inlineStr">
        <is>
          <t>F1.2.1</t>
        </is>
      </c>
      <c r="P23" s="8" t="inlineStr">
        <is>
          <t>R6, R7</t>
        </is>
      </c>
      <c r="Q23" s="8" t="inlineStr"/>
      <c r="R23" s="8" t="inlineStr">
        <is>
          <t>Y</t>
        </is>
      </c>
      <c r="S23" s="10">
        <f>IF(R23="Y",H23,0)</f>
        <v/>
      </c>
    </row>
    <row r="24">
      <c r="A24" s="5" t="inlineStr">
        <is>
          <t>F3.3</t>
        </is>
      </c>
      <c r="B24" s="5" t="n"/>
      <c r="C24" s="5" t="inlineStr">
        <is>
          <t>Case-management integration</t>
        </is>
      </c>
      <c r="D24" s="5" t="n"/>
      <c r="E24" s="6">
        <f>SUM(E25:E25)</f>
        <v/>
      </c>
      <c r="F24" s="6">
        <f>SUM(F25:F25)</f>
        <v/>
      </c>
      <c r="G24" s="6">
        <f>SUM(G25:G25)</f>
        <v/>
      </c>
      <c r="H24" s="7">
        <f>(E24+4*F24+G24)/6</f>
        <v/>
      </c>
      <c r="I24" s="6">
        <f>SUM(I25:I25)</f>
        <v/>
      </c>
      <c r="J24" s="6">
        <f>SUM(J25:J25)</f>
        <v/>
      </c>
      <c r="K24" s="6">
        <f>SUM(K25:K25)</f>
        <v/>
      </c>
      <c r="L24" s="7">
        <f>(I24+4*J24+K24)/6</f>
        <v/>
      </c>
      <c r="M24" s="7">
        <f>(K24-I24)/6</f>
        <v/>
      </c>
      <c r="N24" s="5" t="n"/>
      <c r="O24" s="5" t="n"/>
      <c r="P24" s="5" t="n"/>
      <c r="Q24" s="5" t="n"/>
      <c r="R24" s="5" t="n"/>
      <c r="S24" s="7">
        <f>SUM(S25:S25)</f>
        <v/>
      </c>
    </row>
    <row r="25">
      <c r="A25" s="8" t="inlineStr">
        <is>
          <t>F3.3.1</t>
        </is>
      </c>
      <c r="B25" s="8" t="n"/>
      <c r="C25" s="8" t="n"/>
      <c r="D25" s="8" t="inlineStr">
        <is>
          <t>Case-management integration</t>
        </is>
      </c>
      <c r="E25" s="9" t="n">
        <v>5</v>
      </c>
      <c r="F25" s="9" t="n">
        <v>9</v>
      </c>
      <c r="G25" s="9" t="n">
        <v>14</v>
      </c>
      <c r="H25" s="10">
        <f>(E25+4*F25+G25)/6</f>
        <v/>
      </c>
      <c r="I25" s="9" t="n">
        <v>5</v>
      </c>
      <c r="J25" s="9" t="n">
        <v>9</v>
      </c>
      <c r="K25" s="9" t="n">
        <v>14</v>
      </c>
      <c r="L25" s="10">
        <f>(I25+4*J25+K25)/6</f>
        <v/>
      </c>
      <c r="M25" s="10">
        <f>(K25-I25)/6</f>
        <v/>
      </c>
      <c r="N25" s="8" t="inlineStr">
        <is>
          <t>INT, BE</t>
        </is>
      </c>
      <c r="O25" s="8" t="inlineStr">
        <is>
          <t>F1.2.1</t>
        </is>
      </c>
      <c r="P25" s="8" t="inlineStr">
        <is>
          <t>R6</t>
        </is>
      </c>
      <c r="Q25" s="8" t="inlineStr"/>
      <c r="R25" s="8" t="inlineStr">
        <is>
          <t>Y</t>
        </is>
      </c>
      <c r="S25" s="10">
        <f>IF(R25="Y",H25,0)</f>
        <v/>
      </c>
    </row>
    <row r="26">
      <c r="A26" s="2" t="inlineStr">
        <is>
          <t>F4</t>
        </is>
      </c>
      <c r="B26" s="2" t="inlineStr">
        <is>
          <t>Security &amp; Accessibility Audit</t>
        </is>
      </c>
      <c r="C26" s="2" t="n"/>
      <c r="D26" s="2" t="n"/>
      <c r="E26" s="3">
        <f>SUM(E28,E29)</f>
        <v/>
      </c>
      <c r="F26" s="3">
        <f>SUM(F28,F29)</f>
        <v/>
      </c>
      <c r="G26" s="3">
        <f>SUM(G28,G29)</f>
        <v/>
      </c>
      <c r="H26" s="4">
        <f>(E26+4*F26+G26)/6</f>
        <v/>
      </c>
      <c r="I26" s="3">
        <f>SUM(I28,I29)</f>
        <v/>
      </c>
      <c r="J26" s="3">
        <f>SUM(J28,J29)</f>
        <v/>
      </c>
      <c r="K26" s="3">
        <f>SUM(K28,K29)</f>
        <v/>
      </c>
      <c r="L26" s="4">
        <f>(I26+4*J26+K26)/6</f>
        <v/>
      </c>
      <c r="M26" s="4">
        <f>(K26-I26)/6</f>
        <v/>
      </c>
      <c r="N26" s="2" t="n"/>
      <c r="O26" s="2" t="n"/>
      <c r="P26" s="2" t="n"/>
      <c r="Q26" s="2" t="n"/>
      <c r="R26" s="2" t="n"/>
      <c r="S26" s="4">
        <f>SUM(S28,S29)</f>
        <v/>
      </c>
    </row>
    <row r="27">
      <c r="A27" s="5" t="inlineStr">
        <is>
          <t>F4.1</t>
        </is>
      </c>
      <c r="B27" s="5" t="n"/>
      <c r="C27" s="5" t="inlineStr">
        <is>
          <t>Audit</t>
        </is>
      </c>
      <c r="D27" s="5" t="n"/>
      <c r="E27" s="6">
        <f>SUM(E28:E29)</f>
        <v/>
      </c>
      <c r="F27" s="6">
        <f>SUM(F28:F29)</f>
        <v/>
      </c>
      <c r="G27" s="6">
        <f>SUM(G28:G29)</f>
        <v/>
      </c>
      <c r="H27" s="7">
        <f>(E27+4*F27+G27)/6</f>
        <v/>
      </c>
      <c r="I27" s="6">
        <f>SUM(I28:I29)</f>
        <v/>
      </c>
      <c r="J27" s="6">
        <f>SUM(J28:J29)</f>
        <v/>
      </c>
      <c r="K27" s="6">
        <f>SUM(K28:K29)</f>
        <v/>
      </c>
      <c r="L27" s="7">
        <f>(I27+4*J27+K27)/6</f>
        <v/>
      </c>
      <c r="M27" s="7">
        <f>(K27-I27)/6</f>
        <v/>
      </c>
      <c r="N27" s="5" t="n"/>
      <c r="O27" s="5" t="n"/>
      <c r="P27" s="5" t="n"/>
      <c r="Q27" s="5" t="n"/>
      <c r="R27" s="5" t="n"/>
      <c r="S27" s="7">
        <f>SUM(S28:S29)</f>
        <v/>
      </c>
    </row>
    <row r="28">
      <c r="A28" s="8" t="inlineStr">
        <is>
          <t>F4.1.1</t>
        </is>
      </c>
      <c r="B28" s="8" t="n"/>
      <c r="C28" s="8" t="n"/>
      <c r="D28" s="8" t="inlineStr">
        <is>
          <t>Security testing</t>
        </is>
      </c>
      <c r="E28" s="9" t="n">
        <v>4</v>
      </c>
      <c r="F28" s="9" t="n">
        <v>6</v>
      </c>
      <c r="G28" s="9" t="n">
        <v>10</v>
      </c>
      <c r="H28" s="10">
        <f>(E28+4*F28+G28)/6</f>
        <v/>
      </c>
      <c r="I28" s="9" t="n">
        <v>4</v>
      </c>
      <c r="J28" s="9" t="n">
        <v>6</v>
      </c>
      <c r="K28" s="9" t="n">
        <v>10</v>
      </c>
      <c r="L28" s="10">
        <f>(I28+4*J28+K28)/6</f>
        <v/>
      </c>
      <c r="M28" s="10">
        <f>(K28-I28)/6</f>
        <v/>
      </c>
      <c r="N28" s="8" t="inlineStr">
        <is>
          <t>QA, TA</t>
        </is>
      </c>
      <c r="O28" s="8" t="inlineStr">
        <is>
          <t>F2.1.1, F2.2.1, F3.1.1, F3.2.1, F3.3.1</t>
        </is>
      </c>
      <c r="P28" s="8" t="inlineStr">
        <is>
          <t>R8</t>
        </is>
      </c>
      <c r="Q28" s="8" t="inlineStr"/>
      <c r="R28" s="8" t="inlineStr">
        <is>
          <t>Y</t>
        </is>
      </c>
      <c r="S28" s="10">
        <f>IF(R28="Y",H28,0)</f>
        <v/>
      </c>
    </row>
    <row r="29">
      <c r="A29" s="8" t="inlineStr">
        <is>
          <t>F4.1.2</t>
        </is>
      </c>
      <c r="B29" s="8" t="n"/>
      <c r="C29" s="8" t="n"/>
      <c r="D29" s="8" t="inlineStr">
        <is>
          <t>Accessibility audit</t>
        </is>
      </c>
      <c r="E29" s="9" t="n">
        <v>3</v>
      </c>
      <c r="F29" s="9" t="n">
        <v>5</v>
      </c>
      <c r="G29" s="9" t="n">
        <v>8</v>
      </c>
      <c r="H29" s="10">
        <f>(E29+4*F29+G29)/6</f>
        <v/>
      </c>
      <c r="I29" s="9" t="n">
        <v>3</v>
      </c>
      <c r="J29" s="9" t="n">
        <v>5</v>
      </c>
      <c r="K29" s="9" t="n">
        <v>8</v>
      </c>
      <c r="L29" s="10">
        <f>(I29+4*J29+K29)/6</f>
        <v/>
      </c>
      <c r="M29" s="10">
        <f>(K29-I29)/6</f>
        <v/>
      </c>
      <c r="N29" s="8" t="inlineStr">
        <is>
          <t>QA, UX</t>
        </is>
      </c>
      <c r="O29" s="8" t="inlineStr">
        <is>
          <t>F2.2.1</t>
        </is>
      </c>
      <c r="P29" s="8" t="inlineStr">
        <is>
          <t>R9</t>
        </is>
      </c>
      <c r="Q29" s="8" t="inlineStr"/>
      <c r="R29" s="8" t="inlineStr">
        <is>
          <t>Y</t>
        </is>
      </c>
      <c r="S29" s="10">
        <f>IF(R29="Y",H29,0)</f>
        <v/>
      </c>
    </row>
    <row r="30">
      <c r="A30" s="2" t="inlineStr">
        <is>
          <t>F5</t>
        </is>
      </c>
      <c r="B30" s="2" t="inlineStr">
        <is>
          <t>Internal Acceptance</t>
        </is>
      </c>
      <c r="C30" s="2" t="n"/>
      <c r="D30" s="2" t="n"/>
      <c r="E30" s="3">
        <f>SUM(E32)</f>
        <v/>
      </c>
      <c r="F30" s="3">
        <f>SUM(F32)</f>
        <v/>
      </c>
      <c r="G30" s="3">
        <f>SUM(G32)</f>
        <v/>
      </c>
      <c r="H30" s="4">
        <f>(E30+4*F30+G30)/6</f>
        <v/>
      </c>
      <c r="I30" s="3">
        <f>SUM(I32)</f>
        <v/>
      </c>
      <c r="J30" s="3">
        <f>SUM(J32)</f>
        <v/>
      </c>
      <c r="K30" s="3">
        <f>SUM(K32)</f>
        <v/>
      </c>
      <c r="L30" s="4">
        <f>(I30+4*J30+K30)/6</f>
        <v/>
      </c>
      <c r="M30" s="4">
        <f>(K30-I30)/6</f>
        <v/>
      </c>
      <c r="N30" s="2" t="n"/>
      <c r="O30" s="2" t="n"/>
      <c r="P30" s="2" t="n"/>
      <c r="Q30" s="2" t="n"/>
      <c r="R30" s="2" t="n"/>
      <c r="S30" s="4">
        <f>SUM(S32)</f>
        <v/>
      </c>
    </row>
    <row r="31">
      <c r="A31" s="5" t="inlineStr">
        <is>
          <t>F5.1</t>
        </is>
      </c>
      <c r="B31" s="5" t="n"/>
      <c r="C31" s="5" t="inlineStr">
        <is>
          <t>Internal QA</t>
        </is>
      </c>
      <c r="D31" s="5" t="n"/>
      <c r="E31" s="6">
        <f>SUM(E32:E32)</f>
        <v/>
      </c>
      <c r="F31" s="6">
        <f>SUM(F32:F32)</f>
        <v/>
      </c>
      <c r="G31" s="6">
        <f>SUM(G32:G32)</f>
        <v/>
      </c>
      <c r="H31" s="7">
        <f>(E31+4*F31+G31)/6</f>
        <v/>
      </c>
      <c r="I31" s="6">
        <f>SUM(I32:I32)</f>
        <v/>
      </c>
      <c r="J31" s="6">
        <f>SUM(J32:J32)</f>
        <v/>
      </c>
      <c r="K31" s="6">
        <f>SUM(K32:K32)</f>
        <v/>
      </c>
      <c r="L31" s="7">
        <f>(I31+4*J31+K31)/6</f>
        <v/>
      </c>
      <c r="M31" s="7">
        <f>(K31-I31)/6</f>
        <v/>
      </c>
      <c r="N31" s="5" t="n"/>
      <c r="O31" s="5" t="n"/>
      <c r="P31" s="5" t="n"/>
      <c r="Q31" s="5" t="n"/>
      <c r="R31" s="5" t="n"/>
      <c r="S31" s="7">
        <f>SUM(S32:S32)</f>
        <v/>
      </c>
    </row>
    <row r="32">
      <c r="A32" s="8" t="inlineStr">
        <is>
          <t>F5.1.1</t>
        </is>
      </c>
      <c r="B32" s="8" t="n"/>
      <c r="C32" s="8" t="n"/>
      <c r="D32" s="8" t="inlineStr">
        <is>
          <t>Regression and integration test cycles</t>
        </is>
      </c>
      <c r="E32" s="9" t="n">
        <v>6</v>
      </c>
      <c r="F32" s="9" t="n">
        <v>9</v>
      </c>
      <c r="G32" s="9" t="n">
        <v>14</v>
      </c>
      <c r="H32" s="10">
        <f>(E32+4*F32+G32)/6</f>
        <v/>
      </c>
      <c r="I32" s="9" t="n">
        <v>6</v>
      </c>
      <c r="J32" s="9" t="n">
        <v>9</v>
      </c>
      <c r="K32" s="9" t="n">
        <v>14</v>
      </c>
      <c r="L32" s="10">
        <f>(I32+4*J32+K32)/6</f>
        <v/>
      </c>
      <c r="M32" s="10">
        <f>(K32-I32)/6</f>
        <v/>
      </c>
      <c r="N32" s="8" t="inlineStr">
        <is>
          <t>QA, BE</t>
        </is>
      </c>
      <c r="O32" s="8" t="inlineStr">
        <is>
          <t>F4.1.1, F4.1.2</t>
        </is>
      </c>
      <c r="P32" s="8" t="inlineStr"/>
      <c r="Q32" s="8" t="inlineStr"/>
      <c r="R32" s="8" t="inlineStr">
        <is>
          <t>Y</t>
        </is>
      </c>
      <c r="S32" s="10">
        <f>IF(R32="Y",H32,0)</f>
        <v/>
      </c>
    </row>
    <row r="33">
      <c r="A33" s="2" t="inlineStr">
        <is>
          <t>F6</t>
        </is>
      </c>
      <c r="B33" s="2" t="inlineStr">
        <is>
          <t>UAT</t>
        </is>
      </c>
      <c r="C33" s="2" t="n"/>
      <c r="D33" s="2" t="n"/>
      <c r="E33" s="3">
        <f>SUM(E35)</f>
        <v/>
      </c>
      <c r="F33" s="3">
        <f>SUM(F35)</f>
        <v/>
      </c>
      <c r="G33" s="3">
        <f>SUM(G35)</f>
        <v/>
      </c>
      <c r="H33" s="4">
        <f>(E33+4*F33+G33)/6</f>
        <v/>
      </c>
      <c r="I33" s="3">
        <f>SUM(I35)</f>
        <v/>
      </c>
      <c r="J33" s="3">
        <f>SUM(J35)</f>
        <v/>
      </c>
      <c r="K33" s="3">
        <f>SUM(K35)</f>
        <v/>
      </c>
      <c r="L33" s="4">
        <f>(I33+4*J33+K33)/6</f>
        <v/>
      </c>
      <c r="M33" s="4">
        <f>(K33-I33)/6</f>
        <v/>
      </c>
      <c r="N33" s="2" t="n"/>
      <c r="O33" s="2" t="n"/>
      <c r="P33" s="2" t="n"/>
      <c r="Q33" s="2" t="n"/>
      <c r="R33" s="2" t="n"/>
      <c r="S33" s="4">
        <f>SUM(S35)</f>
        <v/>
      </c>
    </row>
    <row r="34">
      <c r="A34" s="5" t="inlineStr">
        <is>
          <t>F6.1</t>
        </is>
      </c>
      <c r="B34" s="5" t="n"/>
      <c r="C34" s="5" t="inlineStr">
        <is>
          <t>UAT support</t>
        </is>
      </c>
      <c r="D34" s="5" t="n"/>
      <c r="E34" s="6">
        <f>SUM(E35:E35)</f>
        <v/>
      </c>
      <c r="F34" s="6">
        <f>SUM(F35:F35)</f>
        <v/>
      </c>
      <c r="G34" s="6">
        <f>SUM(G35:G35)</f>
        <v/>
      </c>
      <c r="H34" s="7">
        <f>(E34+4*F34+G34)/6</f>
        <v/>
      </c>
      <c r="I34" s="6">
        <f>SUM(I35:I35)</f>
        <v/>
      </c>
      <c r="J34" s="6">
        <f>SUM(J35:J35)</f>
        <v/>
      </c>
      <c r="K34" s="6">
        <f>SUM(K35:K35)</f>
        <v/>
      </c>
      <c r="L34" s="7">
        <f>(I34+4*J34+K34)/6</f>
        <v/>
      </c>
      <c r="M34" s="7">
        <f>(K34-I34)/6</f>
        <v/>
      </c>
      <c r="N34" s="5" t="n"/>
      <c r="O34" s="5" t="n"/>
      <c r="P34" s="5" t="n"/>
      <c r="Q34" s="5" t="n"/>
      <c r="R34" s="5" t="n"/>
      <c r="S34" s="7">
        <f>SUM(S35:S35)</f>
        <v/>
      </c>
    </row>
    <row r="35">
      <c r="A35" s="8" t="inlineStr">
        <is>
          <t>F6.1.1</t>
        </is>
      </c>
      <c r="B35" s="8" t="n"/>
      <c r="C35" s="8" t="n"/>
      <c r="D35" s="8" t="inlineStr">
        <is>
          <t>UAT execution support and defect fixing</t>
        </is>
      </c>
      <c r="E35" s="9" t="n">
        <v>8</v>
      </c>
      <c r="F35" s="9" t="n">
        <v>14</v>
      </c>
      <c r="G35" s="9" t="n">
        <v>22</v>
      </c>
      <c r="H35" s="10">
        <f>(E35+4*F35+G35)/6</f>
        <v/>
      </c>
      <c r="I35" s="9" t="n">
        <v>8</v>
      </c>
      <c r="J35" s="9" t="n">
        <v>14</v>
      </c>
      <c r="K35" s="9" t="n">
        <v>22</v>
      </c>
      <c r="L35" s="10">
        <f>(I35+4*J35+K35)/6</f>
        <v/>
      </c>
      <c r="M35" s="10">
        <f>(K35-I35)/6</f>
        <v/>
      </c>
      <c r="N35" s="8" t="inlineStr">
        <is>
          <t>BE, FE, PM</t>
        </is>
      </c>
      <c r="O35" s="8" t="inlineStr">
        <is>
          <t>F5.1.1</t>
        </is>
      </c>
      <c r="P35" s="8" t="inlineStr">
        <is>
          <t>R10</t>
        </is>
      </c>
      <c r="Q35" s="8" t="inlineStr"/>
      <c r="R35" s="8" t="inlineStr">
        <is>
          <t>Y</t>
        </is>
      </c>
      <c r="S35" s="10">
        <f>IF(R35="Y",H35,0)</f>
        <v/>
      </c>
    </row>
    <row r="36">
      <c r="A36" s="2" t="inlineStr">
        <is>
          <t>F7</t>
        </is>
      </c>
      <c r="B36" s="2" t="inlineStr">
        <is>
          <t>Production Deployment</t>
        </is>
      </c>
      <c r="C36" s="2" t="n"/>
      <c r="D36" s="2" t="n"/>
      <c r="E36" s="3">
        <f>SUM(E38,E39)</f>
        <v/>
      </c>
      <c r="F36" s="3">
        <f>SUM(F38,F39)</f>
        <v/>
      </c>
      <c r="G36" s="3">
        <f>SUM(G38,G39)</f>
        <v/>
      </c>
      <c r="H36" s="4">
        <f>(E36+4*F36+G36)/6</f>
        <v/>
      </c>
      <c r="I36" s="3">
        <f>SUM(I38,I39)</f>
        <v/>
      </c>
      <c r="J36" s="3">
        <f>SUM(J38,J39)</f>
        <v/>
      </c>
      <c r="K36" s="3">
        <f>SUM(K38,K39)</f>
        <v/>
      </c>
      <c r="L36" s="4">
        <f>(I36+4*J36+K36)/6</f>
        <v/>
      </c>
      <c r="M36" s="4">
        <f>(K36-I36)/6</f>
        <v/>
      </c>
      <c r="N36" s="2" t="n"/>
      <c r="O36" s="2" t="n"/>
      <c r="P36" s="2" t="n"/>
      <c r="Q36" s="2" t="n"/>
      <c r="R36" s="2" t="n"/>
      <c r="S36" s="4">
        <f>SUM(S38,S39)</f>
        <v/>
      </c>
    </row>
    <row r="37">
      <c r="A37" s="5" t="inlineStr">
        <is>
          <t>F7.1</t>
        </is>
      </c>
      <c r="B37" s="5" t="n"/>
      <c r="C37" s="5" t="inlineStr">
        <is>
          <t>Deploy</t>
        </is>
      </c>
      <c r="D37" s="5" t="n"/>
      <c r="E37" s="6">
        <f>SUM(E38:E39)</f>
        <v/>
      </c>
      <c r="F37" s="6">
        <f>SUM(F38:F39)</f>
        <v/>
      </c>
      <c r="G37" s="6">
        <f>SUM(G38:G39)</f>
        <v/>
      </c>
      <c r="H37" s="7">
        <f>(E37+4*F37+G37)/6</f>
        <v/>
      </c>
      <c r="I37" s="6">
        <f>SUM(I38:I39)</f>
        <v/>
      </c>
      <c r="J37" s="6">
        <f>SUM(J38:J39)</f>
        <v/>
      </c>
      <c r="K37" s="6">
        <f>SUM(K38:K39)</f>
        <v/>
      </c>
      <c r="L37" s="7">
        <f>(I37+4*J37+K37)/6</f>
        <v/>
      </c>
      <c r="M37" s="7">
        <f>(K37-I37)/6</f>
        <v/>
      </c>
      <c r="N37" s="5" t="n"/>
      <c r="O37" s="5" t="n"/>
      <c r="P37" s="5" t="n"/>
      <c r="Q37" s="5" t="n"/>
      <c r="R37" s="5" t="n"/>
      <c r="S37" s="7">
        <f>SUM(S38:S39)</f>
        <v/>
      </c>
    </row>
    <row r="38">
      <c r="A38" s="8" t="inlineStr">
        <is>
          <t>F7.1.1</t>
        </is>
      </c>
      <c r="B38" s="8" t="n"/>
      <c r="C38" s="8" t="n"/>
      <c r="D38" s="8" t="inlineStr">
        <is>
          <t>Production deployment</t>
        </is>
      </c>
      <c r="E38" s="9" t="n">
        <v>3</v>
      </c>
      <c r="F38" s="9" t="n">
        <v>5</v>
      </c>
      <c r="G38" s="9" t="n">
        <v>8</v>
      </c>
      <c r="H38" s="10">
        <f>(E38+4*F38+G38)/6</f>
        <v/>
      </c>
      <c r="I38" s="9" t="n">
        <v>3</v>
      </c>
      <c r="J38" s="9" t="n">
        <v>5</v>
      </c>
      <c r="K38" s="9" t="n">
        <v>8</v>
      </c>
      <c r="L38" s="10">
        <f>(I38+4*J38+K38)/6</f>
        <v/>
      </c>
      <c r="M38" s="10">
        <f>(K38-I38)/6</f>
        <v/>
      </c>
      <c r="N38" s="8" t="inlineStr">
        <is>
          <t>DEVOPS, BE</t>
        </is>
      </c>
      <c r="O38" s="8" t="inlineStr">
        <is>
          <t>F6.1.1</t>
        </is>
      </c>
      <c r="P38" s="8" t="inlineStr">
        <is>
          <t>R11</t>
        </is>
      </c>
      <c r="Q38" s="8" t="inlineStr"/>
      <c r="R38" s="8" t="inlineStr">
        <is>
          <t>Y</t>
        </is>
      </c>
      <c r="S38" s="10">
        <f>IF(R38="Y",H38,0)</f>
        <v/>
      </c>
    </row>
    <row r="39">
      <c r="A39" s="8" t="inlineStr">
        <is>
          <t>F7.1.2</t>
        </is>
      </c>
      <c r="B39" s="8" t="n"/>
      <c r="C39" s="8" t="n"/>
      <c r="D39" s="8" t="inlineStr">
        <is>
          <t>Hypercare and documentation handover</t>
        </is>
      </c>
      <c r="E39" s="9" t="n">
        <v>4</v>
      </c>
      <c r="F39" s="9" t="n">
        <v>7</v>
      </c>
      <c r="G39" s="9" t="n">
        <v>10</v>
      </c>
      <c r="H39" s="10">
        <f>(E39+4*F39+G39)/6</f>
        <v/>
      </c>
      <c r="I39" s="9" t="n">
        <v>4</v>
      </c>
      <c r="J39" s="9" t="n">
        <v>7</v>
      </c>
      <c r="K39" s="9" t="n">
        <v>10</v>
      </c>
      <c r="L39" s="10">
        <f>(I39+4*J39+K39)/6</f>
        <v/>
      </c>
      <c r="M39" s="10">
        <f>(K39-I39)/6</f>
        <v/>
      </c>
      <c r="N39" s="8" t="inlineStr">
        <is>
          <t>DOC, PM, BE</t>
        </is>
      </c>
      <c r="O39" s="8" t="inlineStr">
        <is>
          <t>F7.1.1</t>
        </is>
      </c>
      <c r="P39" s="8" t="inlineStr"/>
      <c r="Q39" s="8" t="inlineStr"/>
      <c r="R39" s="8" t="inlineStr">
        <is>
          <t>Y</t>
        </is>
      </c>
      <c r="S39" s="10">
        <f>IF(R39="Y",H39,0)</f>
        <v/>
      </c>
    </row>
    <row r="40">
      <c r="A40" s="11" t="inlineStr">
        <is>
          <t>TOTAL</t>
        </is>
      </c>
      <c r="B40" s="11" t="n"/>
      <c r="C40" s="11" t="n"/>
      <c r="D40" s="11" t="n"/>
      <c r="E40" s="12">
        <f>SUM(E2,E8,E14,E19,E26,E30,E33,E36)</f>
        <v/>
      </c>
      <c r="F40" s="12">
        <f>SUM(F2,F8,F14,F19,F26,F30,F33,F36)</f>
        <v/>
      </c>
      <c r="G40" s="12">
        <f>SUM(G2,G8,G14,G19,G26,G30,G33,G36)</f>
        <v/>
      </c>
      <c r="H40" s="13">
        <f>SUM(H2,H8,H14,H19,H26,H30,H33,H36)</f>
        <v/>
      </c>
      <c r="I40" s="12">
        <f>SUM(I2,I8,I14,I19,I26,I30,I33,I36)</f>
        <v/>
      </c>
      <c r="J40" s="12">
        <f>SUM(J2,J8,J14,J19,J26,J30,J33,J36)</f>
        <v/>
      </c>
      <c r="K40" s="12">
        <f>SUM(K2,K8,K14,K19,K26,K30,K33,K36)</f>
        <v/>
      </c>
      <c r="L40" s="13">
        <f>SUM(L2,L8,L14,L19,L26,L30,L33,L36)</f>
        <v/>
      </c>
      <c r="M40" s="13">
        <f>SUM(M2,M8,M14,M19,M26,M30,M33,M36)</f>
        <v/>
      </c>
      <c r="N40" s="11" t="n"/>
      <c r="O40" s="11" t="n"/>
      <c r="P40" s="11" t="n"/>
      <c r="Q40" s="11" t="n"/>
      <c r="R40" s="11" t="n"/>
      <c r="S40" s="13">
        <f>SUM(S2,S8,S14,S19,S26,S30,S33,S36)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4" customWidth="1" min="29" max="29"/>
  </cols>
  <sheetData>
    <row r="1">
      <c r="A1" s="1" t="inlineStr">
        <is>
          <t>Ruolo</t>
        </is>
      </c>
      <c r="B1" s="1" t="inlineStr">
        <is>
          <t>Codice</t>
        </is>
      </c>
      <c r="C1" s="1" t="inlineStr">
        <is>
          <t>Tipo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W11</t>
        </is>
      </c>
      <c r="O1" s="14" t="inlineStr">
        <is>
          <t>W12</t>
        </is>
      </c>
      <c r="P1" s="14" t="inlineStr">
        <is>
          <t>W13</t>
        </is>
      </c>
      <c r="Q1" s="14" t="inlineStr">
        <is>
          <t>W14</t>
        </is>
      </c>
      <c r="R1" s="14" t="inlineStr">
        <is>
          <t>W15</t>
        </is>
      </c>
      <c r="S1" s="14" t="inlineStr">
        <is>
          <t>W16</t>
        </is>
      </c>
      <c r="T1" s="14" t="inlineStr">
        <is>
          <t>W17</t>
        </is>
      </c>
      <c r="U1" s="14" t="inlineStr">
        <is>
          <t>W18</t>
        </is>
      </c>
      <c r="V1" s="14" t="inlineStr">
        <is>
          <t>W19</t>
        </is>
      </c>
      <c r="W1" s="14" t="inlineStr">
        <is>
          <t>W20</t>
        </is>
      </c>
      <c r="X1" s="14" t="inlineStr">
        <is>
          <t>W21</t>
        </is>
      </c>
      <c r="Y1" s="14" t="inlineStr">
        <is>
          <t>W22</t>
        </is>
      </c>
      <c r="Z1" s="14" t="inlineStr">
        <is>
          <t>W23</t>
        </is>
      </c>
      <c r="AA1" s="14" t="inlineStr">
        <is>
          <t>W24</t>
        </is>
      </c>
      <c r="AB1" s="14" t="inlineStr">
        <is>
          <t>W25</t>
        </is>
      </c>
      <c r="AC1" s="1" t="inlineStr">
        <is>
          <t>TOTALE (PD)</t>
        </is>
      </c>
    </row>
    <row r="2">
      <c r="C2" s="15" t="inlineStr">
        <is>
          <t>Settimana del</t>
        </is>
      </c>
      <c r="D2" s="15" t="inlineStr">
        <is>
          <t>2026-07-06</t>
        </is>
      </c>
      <c r="E2" s="15" t="inlineStr">
        <is>
          <t>2026-07-13</t>
        </is>
      </c>
      <c r="F2" s="15" t="inlineStr">
        <is>
          <t>2026-07-20</t>
        </is>
      </c>
      <c r="G2" s="15" t="inlineStr">
        <is>
          <t>2026-07-27</t>
        </is>
      </c>
      <c r="H2" s="15" t="inlineStr">
        <is>
          <t>2026-08-03</t>
        </is>
      </c>
      <c r="I2" s="15" t="inlineStr">
        <is>
          <t>2026-08-10</t>
        </is>
      </c>
      <c r="J2" s="15" t="inlineStr">
        <is>
          <t>2026-08-17</t>
        </is>
      </c>
      <c r="K2" s="15" t="inlineStr">
        <is>
          <t>2026-08-24</t>
        </is>
      </c>
      <c r="L2" s="15" t="inlineStr">
        <is>
          <t>2026-08-31</t>
        </is>
      </c>
      <c r="M2" s="15" t="inlineStr">
        <is>
          <t>2026-09-07</t>
        </is>
      </c>
      <c r="N2" s="15" t="inlineStr">
        <is>
          <t>2026-09-14</t>
        </is>
      </c>
      <c r="O2" s="15" t="inlineStr">
        <is>
          <t>2026-09-21</t>
        </is>
      </c>
      <c r="P2" s="15" t="inlineStr">
        <is>
          <t>2026-09-28</t>
        </is>
      </c>
      <c r="Q2" s="15" t="inlineStr">
        <is>
          <t>2026-10-05</t>
        </is>
      </c>
      <c r="R2" s="15" t="inlineStr">
        <is>
          <t>2026-10-12</t>
        </is>
      </c>
      <c r="S2" s="15" t="inlineStr">
        <is>
          <t>2026-10-19</t>
        </is>
      </c>
      <c r="T2" s="15" t="inlineStr">
        <is>
          <t>2026-10-26</t>
        </is>
      </c>
      <c r="U2" s="15" t="inlineStr">
        <is>
          <t>2026-11-02</t>
        </is>
      </c>
      <c r="V2" s="15" t="inlineStr">
        <is>
          <t>2026-11-09</t>
        </is>
      </c>
      <c r="W2" s="15" t="inlineStr">
        <is>
          <t>2026-11-16</t>
        </is>
      </c>
      <c r="X2" s="15" t="inlineStr">
        <is>
          <t>2026-11-23</t>
        </is>
      </c>
      <c r="Y2" s="15" t="inlineStr">
        <is>
          <t>2026-11-30</t>
        </is>
      </c>
      <c r="Z2" s="15" t="inlineStr">
        <is>
          <t>2026-12-07</t>
        </is>
      </c>
      <c r="AA2" s="15" t="inlineStr">
        <is>
          <t>2026-12-14</t>
        </is>
      </c>
      <c r="AB2" s="15" t="inlineStr">
        <is>
          <t>2026-12-21</t>
        </is>
      </c>
    </row>
    <row r="3">
      <c r="A3" t="inlineStr">
        <is>
          <t>Business Analyst</t>
        </is>
      </c>
      <c r="B3" t="inlineStr">
        <is>
          <t>BA</t>
        </is>
      </c>
      <c r="C3" t="inlineStr">
        <is>
          <t>billable</t>
        </is>
      </c>
      <c r="D3" s="16" t="n">
        <v>2.58</v>
      </c>
      <c r="E3" s="16" t="n">
        <v>2.58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7">
        <f>SUM(D3:AB3)</f>
        <v/>
      </c>
    </row>
    <row r="4">
      <c r="A4" t="inlineStr">
        <is>
          <t>Back-end Developer</t>
        </is>
      </c>
      <c r="B4" t="inlineStr">
        <is>
          <t>BE</t>
        </is>
      </c>
      <c r="C4" t="inlineStr">
        <is>
          <t>billable</t>
        </is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3.08</v>
      </c>
      <c r="J4" s="16" t="n">
        <v>3.08</v>
      </c>
      <c r="K4" s="16" t="n">
        <v>3.08</v>
      </c>
      <c r="L4" s="16" t="n">
        <v>3.08</v>
      </c>
      <c r="M4" s="16" t="n">
        <v>3.08</v>
      </c>
      <c r="N4" s="16" t="n">
        <v>3.08</v>
      </c>
      <c r="O4" s="16" t="n">
        <v>3.08</v>
      </c>
      <c r="P4" s="16" t="n">
        <v>3.08</v>
      </c>
      <c r="Q4" s="16" t="n">
        <v>3.08</v>
      </c>
      <c r="R4" s="16" t="n">
        <v>3.08</v>
      </c>
      <c r="S4" s="16" t="n">
        <v>0</v>
      </c>
      <c r="T4" s="16" t="n">
        <v>0</v>
      </c>
      <c r="U4" s="16" t="n">
        <v>0</v>
      </c>
      <c r="V4" s="16" t="n">
        <v>3.58</v>
      </c>
      <c r="W4" s="16" t="n">
        <v>3.58</v>
      </c>
      <c r="X4" s="16" t="n">
        <v>3.58</v>
      </c>
      <c r="Y4" s="16" t="n">
        <v>3.58</v>
      </c>
      <c r="Z4" s="16" t="n">
        <v>0</v>
      </c>
      <c r="AA4" s="16" t="n">
        <v>0</v>
      </c>
      <c r="AB4" s="16" t="n">
        <v>0</v>
      </c>
      <c r="AC4" s="17">
        <f>SUM(D4:AB4)</f>
        <v/>
      </c>
    </row>
    <row r="5">
      <c r="A5" t="inlineStr">
        <is>
          <t>DevOps Engineer</t>
        </is>
      </c>
      <c r="B5" t="inlineStr">
        <is>
          <t>DEVOPS</t>
        </is>
      </c>
      <c r="C5" t="inlineStr">
        <is>
          <t>billable</t>
        </is>
      </c>
      <c r="D5" s="16" t="n">
        <v>1</v>
      </c>
      <c r="E5" s="16" t="n">
        <v>1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1.29</v>
      </c>
      <c r="Z5" s="16" t="n">
        <v>1.29</v>
      </c>
      <c r="AA5" s="16" t="n">
        <v>1.29</v>
      </c>
      <c r="AB5" s="16" t="n">
        <v>1.29</v>
      </c>
      <c r="AC5" s="17">
        <f>SUM(D5:AB5)</f>
        <v/>
      </c>
    </row>
    <row r="6">
      <c r="A6" t="inlineStr">
        <is>
          <t>Technical Writer</t>
        </is>
      </c>
      <c r="B6" t="inlineStr">
        <is>
          <t>DOC</t>
        </is>
      </c>
      <c r="C6" t="inlineStr">
        <is>
          <t>billable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1.75</v>
      </c>
      <c r="Z6" s="16" t="n">
        <v>1.75</v>
      </c>
      <c r="AA6" s="16" t="n">
        <v>1.75</v>
      </c>
      <c r="AB6" s="16" t="n">
        <v>1.75</v>
      </c>
      <c r="AC6" s="17">
        <f>SUM(D6:AB6)</f>
        <v/>
      </c>
    </row>
    <row r="7">
      <c r="A7" t="inlineStr">
        <is>
          <t>Front-end Developer</t>
        </is>
      </c>
      <c r="B7" t="inlineStr">
        <is>
          <t>FE</t>
        </is>
      </c>
      <c r="C7" t="inlineStr">
        <is>
          <t>billable</t>
        </is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2.83</v>
      </c>
      <c r="J7" s="16" t="n">
        <v>2.83</v>
      </c>
      <c r="K7" s="16" t="n">
        <v>2.83</v>
      </c>
      <c r="L7" s="16" t="n">
        <v>2.83</v>
      </c>
      <c r="M7" s="16" t="n">
        <v>2.83</v>
      </c>
      <c r="N7" s="16" t="n">
        <v>2.83</v>
      </c>
      <c r="O7" s="16" t="n">
        <v>2.83</v>
      </c>
      <c r="P7" s="16" t="n">
        <v>2.83</v>
      </c>
      <c r="Q7" s="16" t="n">
        <v>2.83</v>
      </c>
      <c r="R7" s="16" t="n">
        <v>2.83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7">
        <f>SUM(D7:AB7)</f>
        <v/>
      </c>
    </row>
    <row r="8">
      <c r="A8" t="inlineStr">
        <is>
          <t>Integration Specialist</t>
        </is>
      </c>
      <c r="B8" t="inlineStr">
        <is>
          <t>INT</t>
        </is>
      </c>
      <c r="C8" t="inlineStr">
        <is>
          <t>billable</t>
        </is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3.94</v>
      </c>
      <c r="L8" s="16" t="n">
        <v>3.94</v>
      </c>
      <c r="M8" s="16" t="n">
        <v>3.94</v>
      </c>
      <c r="N8" s="16" t="n">
        <v>3.94</v>
      </c>
      <c r="O8" s="16" t="n">
        <v>3.94</v>
      </c>
      <c r="P8" s="16" t="n">
        <v>3.94</v>
      </c>
      <c r="Q8" s="16" t="n">
        <v>3.94</v>
      </c>
      <c r="R8" s="16" t="n">
        <v>3.94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7">
        <f>SUM(D8:AB8)</f>
        <v/>
      </c>
    </row>
    <row r="9">
      <c r="A9" t="inlineStr">
        <is>
          <t>Project Manager</t>
        </is>
      </c>
      <c r="B9" t="inlineStr">
        <is>
          <t>PM</t>
        </is>
      </c>
      <c r="C9" t="inlineStr">
        <is>
          <t>billable</t>
        </is>
      </c>
      <c r="D9" s="16" t="n">
        <v>1.58</v>
      </c>
      <c r="E9" s="16" t="n">
        <v>1.58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7">
        <f>SUM(D9:AB9)</f>
        <v/>
      </c>
    </row>
    <row r="10">
      <c r="A10" t="inlineStr">
        <is>
          <t>Quality Assurance</t>
        </is>
      </c>
      <c r="B10" t="inlineStr">
        <is>
          <t>QA</t>
        </is>
      </c>
      <c r="C10" t="inlineStr">
        <is>
          <t>billable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3.83</v>
      </c>
      <c r="T10" s="18" t="n">
        <v>6.94</v>
      </c>
      <c r="U10" s="18" t="n">
        <v>6.94</v>
      </c>
      <c r="V10" s="16" t="n">
        <v>3.11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7">
        <f>SUM(D10:AB10)</f>
        <v/>
      </c>
    </row>
    <row r="11">
      <c r="A11" t="inlineStr">
        <is>
          <t>Technical Architect</t>
        </is>
      </c>
      <c r="B11" t="inlineStr">
        <is>
          <t>TA</t>
        </is>
      </c>
      <c r="C11" t="inlineStr">
        <is>
          <t>billable</t>
        </is>
      </c>
      <c r="D11" s="16" t="n">
        <v>0</v>
      </c>
      <c r="E11" s="16" t="n">
        <v>0</v>
      </c>
      <c r="F11" s="16" t="n">
        <v>2.33</v>
      </c>
      <c r="G11" s="16" t="n">
        <v>2.33</v>
      </c>
      <c r="H11" s="16" t="n">
        <v>2.33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7">
        <f>SUM(D11:AB11)</f>
        <v/>
      </c>
    </row>
    <row r="12">
      <c r="A12" t="inlineStr">
        <is>
          <t>UX Designer</t>
        </is>
      </c>
      <c r="B12" t="inlineStr">
        <is>
          <t>UX</t>
        </is>
      </c>
      <c r="C12" t="inlineStr">
        <is>
          <t>billable</t>
        </is>
      </c>
      <c r="D12" s="16" t="n">
        <v>0</v>
      </c>
      <c r="E12" s="16" t="n">
        <v>0</v>
      </c>
      <c r="F12" s="16" t="n">
        <v>4.44</v>
      </c>
      <c r="G12" s="16" t="n">
        <v>4.44</v>
      </c>
      <c r="H12" s="16" t="n">
        <v>4.44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7">
        <f>SUM(D12:AB12)</f>
        <v/>
      </c>
    </row>
    <row r="13">
      <c r="A13" s="11" t="inlineStr">
        <is>
          <t>TOTALE settimana</t>
        </is>
      </c>
      <c r="D13" s="12">
        <f>SUM(D3:D12)</f>
        <v/>
      </c>
      <c r="E13" s="12">
        <f>SUM(E3:E12)</f>
        <v/>
      </c>
      <c r="F13" s="12">
        <f>SUM(F3:F12)</f>
        <v/>
      </c>
      <c r="G13" s="12">
        <f>SUM(G3:G12)</f>
        <v/>
      </c>
      <c r="H13" s="12">
        <f>SUM(H3:H12)</f>
        <v/>
      </c>
      <c r="I13" s="12">
        <f>SUM(I3:I12)</f>
        <v/>
      </c>
      <c r="J13" s="12">
        <f>SUM(J3:J12)</f>
        <v/>
      </c>
      <c r="K13" s="12">
        <f>SUM(K3:K12)</f>
        <v/>
      </c>
      <c r="L13" s="12">
        <f>SUM(L3:L12)</f>
        <v/>
      </c>
      <c r="M13" s="12">
        <f>SUM(M3:M12)</f>
        <v/>
      </c>
      <c r="N13" s="12">
        <f>SUM(N3:N12)</f>
        <v/>
      </c>
      <c r="O13" s="12">
        <f>SUM(O3:O12)</f>
        <v/>
      </c>
      <c r="P13" s="12">
        <f>SUM(P3:P12)</f>
        <v/>
      </c>
      <c r="Q13" s="12">
        <f>SUM(Q3:Q12)</f>
        <v/>
      </c>
      <c r="R13" s="12">
        <f>SUM(R3:R12)</f>
        <v/>
      </c>
      <c r="S13" s="12">
        <f>SUM(S3:S12)</f>
        <v/>
      </c>
      <c r="T13" s="12">
        <f>SUM(T3:T12)</f>
        <v/>
      </c>
      <c r="U13" s="12">
        <f>SUM(U3:U12)</f>
        <v/>
      </c>
      <c r="V13" s="12">
        <f>SUM(V3:V12)</f>
        <v/>
      </c>
      <c r="W13" s="12">
        <f>SUM(W3:W12)</f>
        <v/>
      </c>
      <c r="X13" s="12">
        <f>SUM(X3:X12)</f>
        <v/>
      </c>
      <c r="Y13" s="12">
        <f>SUM(Y3:Y12)</f>
        <v/>
      </c>
      <c r="Z13" s="12">
        <f>SUM(Z3:Z12)</f>
        <v/>
      </c>
      <c r="AA13" s="12">
        <f>SUM(AA3:AA12)</f>
        <v/>
      </c>
      <c r="AB13" s="12">
        <f>SUM(AB3:AB12)</f>
        <v/>
      </c>
      <c r="AC13" s="12">
        <f>SUM(D13:AB13)</f>
        <v/>
      </c>
    </row>
    <row r="15">
      <c r="A15" s="19" t="inlineStr">
        <is>
          <t>Warning capacity</t>
        </is>
      </c>
    </row>
    <row r="16">
      <c r="A16" t="inlineStr">
        <is>
          <t>Overcommit: W17 (QA) (6.9 PD vs 5.0 PD capacity)</t>
        </is>
      </c>
    </row>
    <row r="17">
      <c r="A17" t="inlineStr">
        <is>
          <t>Overcommit: W18 (QA) (6.9 PD vs 5.0 PD capacity)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t="inlineStr">
        <is>
          <t>R1</t>
        </is>
      </c>
      <c r="B2" t="inlineStr">
        <is>
          <t>Environment access delayed by IT bureaucracy</t>
        </is>
      </c>
      <c r="C2" t="inlineStr">
        <is>
          <t>Organizational</t>
        </is>
      </c>
      <c r="D2" t="inlineStr">
        <is>
          <t>F0</t>
        </is>
      </c>
      <c r="E2" t="n">
        <v>3</v>
      </c>
      <c r="F2" t="n">
        <v>3</v>
      </c>
      <c r="G2">
        <f>E2*F2</f>
        <v/>
      </c>
      <c r="H2">
        <f>IF(G2&gt;=15,"CRITICAL",IF(G2&gt;=10,"HIGH",IF(G2&gt;=5,"MEDIUM","LOW")))</f>
        <v/>
      </c>
      <c r="I2" t="inlineStr">
        <is>
          <t>Mitigate</t>
        </is>
      </c>
      <c r="J2" t="inlineStr">
        <is>
          <t>Submit access requests in week -2 and track weekly</t>
        </is>
      </c>
      <c r="K2" t="inlineStr">
        <is>
          <t>PM</t>
        </is>
      </c>
      <c r="L2" t="n">
        <v>2</v>
      </c>
      <c r="M2">
        <f>L2*500</f>
        <v/>
      </c>
    </row>
    <row r="3">
      <c r="A3" s="20" t="inlineStr">
        <is>
          <t>R2</t>
        </is>
      </c>
      <c r="B3" s="20" t="inlineStr">
        <is>
          <t>Requirements not frozen by stakeholders in time</t>
        </is>
      </c>
      <c r="C3" s="20" t="inlineStr">
        <is>
          <t>Organizational</t>
        </is>
      </c>
      <c r="D3" s="20" t="inlineStr">
        <is>
          <t>F0, F1</t>
        </is>
      </c>
      <c r="E3" s="20" t="n">
        <v>3</v>
      </c>
      <c r="F3" s="20" t="n">
        <v>4</v>
      </c>
      <c r="G3" s="20">
        <f>E3*F3</f>
        <v/>
      </c>
      <c r="H3" s="20">
        <f>IF(G3&gt;=15,"CRITICAL",IF(G3&gt;=10,"HIGH",IF(G3&gt;=5,"MEDIUM","LOW")))</f>
        <v/>
      </c>
      <c r="I3" s="20" t="inlineStr">
        <is>
          <t>Mitigate</t>
        </is>
      </c>
      <c r="J3" s="20" t="inlineStr">
        <is>
          <t>Use a written sign-off gate before F1 starts</t>
        </is>
      </c>
      <c r="K3" s="20" t="inlineStr">
        <is>
          <t>PM</t>
        </is>
      </c>
      <c r="L3" s="20" t="n">
        <v>4</v>
      </c>
      <c r="M3" s="20">
        <f>L3*500</f>
        <v/>
      </c>
    </row>
    <row r="4">
      <c r="A4" t="inlineStr">
        <is>
          <t>R3</t>
        </is>
      </c>
      <c r="B4" t="inlineStr">
        <is>
          <t>Accessibility findings force UX rework</t>
        </is>
      </c>
      <c r="C4" t="inlineStr">
        <is>
          <t>Technical</t>
        </is>
      </c>
      <c r="D4" t="inlineStr">
        <is>
          <t>F1, F2</t>
        </is>
      </c>
      <c r="E4" t="n">
        <v>3</v>
      </c>
      <c r="F4" t="n">
        <v>3</v>
      </c>
      <c r="G4">
        <f>E4*F4</f>
        <v/>
      </c>
      <c r="H4">
        <f>IF(G4&gt;=15,"CRITICAL",IF(G4&gt;=10,"HIGH",IF(G4&gt;=5,"MEDIUM","LOW")))</f>
        <v/>
      </c>
      <c r="I4" t="inlineStr">
        <is>
          <t>Mitigate</t>
        </is>
      </c>
      <c r="J4" t="inlineStr">
        <is>
          <t>Run accessibility review in F1 instead of waiting for audit</t>
        </is>
      </c>
      <c r="K4" t="inlineStr">
        <is>
          <t>UX</t>
        </is>
      </c>
      <c r="L4" t="n">
        <v>5</v>
      </c>
      <c r="M4">
        <f>L4*500</f>
        <v/>
      </c>
    </row>
    <row r="5">
      <c r="A5" s="20" t="inlineStr">
        <is>
          <t>R4</t>
        </is>
      </c>
      <c r="B5" s="20" t="inlineStr">
        <is>
          <t>API contract instability with internal data owners</t>
        </is>
      </c>
      <c r="C5" s="20" t="inlineStr">
        <is>
          <t>Technical</t>
        </is>
      </c>
      <c r="D5" s="20" t="inlineStr">
        <is>
          <t>F1, F2</t>
        </is>
      </c>
      <c r="E5" s="20" t="n">
        <v>4</v>
      </c>
      <c r="F5" s="20" t="n">
        <v>3</v>
      </c>
      <c r="G5" s="20">
        <f>E5*F5</f>
        <v/>
      </c>
      <c r="H5" s="20">
        <f>IF(G5&gt;=15,"CRITICAL",IF(G5&gt;=10,"HIGH",IF(G5&gt;=5,"MEDIUM","LOW")))</f>
        <v/>
      </c>
      <c r="I5" s="20" t="inlineStr">
        <is>
          <t>Mitigate</t>
        </is>
      </c>
      <c r="J5" s="20" t="inlineStr">
        <is>
          <t>Lock API contracts at end of F1 with both data owners</t>
        </is>
      </c>
      <c r="K5" s="20" t="inlineStr">
        <is>
          <t>TA</t>
        </is>
      </c>
      <c r="L5" s="20" t="n">
        <v>6</v>
      </c>
      <c r="M5" s="20">
        <f>L5*500</f>
        <v/>
      </c>
    </row>
    <row r="6">
      <c r="A6" s="20" t="inlineStr">
        <is>
          <t>R5</t>
        </is>
      </c>
      <c r="B6" s="20" t="inlineStr">
        <is>
          <t>Business logic complexity underestimated</t>
        </is>
      </c>
      <c r="C6" s="20" t="inlineStr">
        <is>
          <t>Technical</t>
        </is>
      </c>
      <c r="D6" s="20" t="inlineStr">
        <is>
          <t>F2</t>
        </is>
      </c>
      <c r="E6" s="20" t="n">
        <v>3</v>
      </c>
      <c r="F6" s="20" t="n">
        <v>4</v>
      </c>
      <c r="G6" s="20">
        <f>E6*F6</f>
        <v/>
      </c>
      <c r="H6" s="20">
        <f>IF(G6&gt;=15,"CRITICAL",IF(G6&gt;=10,"HIGH",IF(G6&gt;=5,"MEDIUM","LOW")))</f>
        <v/>
      </c>
      <c r="I6" s="20" t="inlineStr">
        <is>
          <t>Accept</t>
        </is>
      </c>
      <c r="J6" s="20" t="inlineStr">
        <is>
          <t>Buffer included in pessimistic estimates of F2.1</t>
        </is>
      </c>
      <c r="K6" s="20" t="inlineStr">
        <is>
          <t>BE</t>
        </is>
      </c>
      <c r="L6" s="20" t="n">
        <v>5</v>
      </c>
      <c r="M6" s="20">
        <f>L6*500</f>
        <v/>
      </c>
    </row>
    <row r="7">
      <c r="A7" s="20" t="inlineStr">
        <is>
          <t>R6</t>
        </is>
      </c>
      <c r="B7" s="20" t="inlineStr">
        <is>
          <t>Integration vendor SLAs differ — one slow to deliver</t>
        </is>
      </c>
      <c r="C7" s="20" t="inlineStr">
        <is>
          <t>External</t>
        </is>
      </c>
      <c r="D7" s="20" t="inlineStr">
        <is>
          <t>F3</t>
        </is>
      </c>
      <c r="E7" s="20" t="n">
        <v>4</v>
      </c>
      <c r="F7" s="20" t="n">
        <v>4</v>
      </c>
      <c r="G7" s="20">
        <f>E7*F7</f>
        <v/>
      </c>
      <c r="H7" s="20">
        <f>IF(G7&gt;=15,"CRITICAL",IF(G7&gt;=10,"HIGH",IF(G7&gt;=5,"MEDIUM","LOW")))</f>
        <v/>
      </c>
      <c r="I7" s="20" t="inlineStr">
        <is>
          <t>Mitigate</t>
        </is>
      </c>
      <c r="J7" s="20" t="inlineStr">
        <is>
          <t>Stub the slow integration in F2 and integrate late</t>
        </is>
      </c>
      <c r="K7" s="20" t="inlineStr">
        <is>
          <t>INT</t>
        </is>
      </c>
      <c r="L7" s="20" t="n">
        <v>8</v>
      </c>
      <c r="M7" s="20">
        <f>L7*500</f>
        <v/>
      </c>
    </row>
    <row r="8">
      <c r="A8" s="20" t="inlineStr">
        <is>
          <t>R7</t>
        </is>
      </c>
      <c r="B8" s="20" t="inlineStr">
        <is>
          <t>Payments integration security review extra round</t>
        </is>
      </c>
      <c r="C8" s="20" t="inlineStr">
        <is>
          <t>Technical</t>
        </is>
      </c>
      <c r="D8" s="20" t="inlineStr">
        <is>
          <t>F3, F4</t>
        </is>
      </c>
      <c r="E8" s="20" t="n">
        <v>3</v>
      </c>
      <c r="F8" s="20" t="n">
        <v>4</v>
      </c>
      <c r="G8" s="20">
        <f>E8*F8</f>
        <v/>
      </c>
      <c r="H8" s="20">
        <f>IF(G8&gt;=15,"CRITICAL",IF(G8&gt;=10,"HIGH",IF(G8&gt;=5,"MEDIUM","LOW")))</f>
        <v/>
      </c>
      <c r="I8" s="20" t="inlineStr">
        <is>
          <t>Mitigate</t>
        </is>
      </c>
      <c r="J8" s="20" t="inlineStr">
        <is>
          <t>Pre-review of payments flow in F1 with security team</t>
        </is>
      </c>
      <c r="K8" s="20" t="inlineStr">
        <is>
          <t>INT</t>
        </is>
      </c>
      <c r="L8" s="20" t="n">
        <v>4</v>
      </c>
      <c r="M8" s="20">
        <f>L8*500</f>
        <v/>
      </c>
    </row>
    <row r="9">
      <c r="A9" s="20" t="inlineStr">
        <is>
          <t>R8</t>
        </is>
      </c>
      <c r="B9" s="20" t="inlineStr">
        <is>
          <t>Security audit findings require code rework</t>
        </is>
      </c>
      <c r="C9" s="20" t="inlineStr">
        <is>
          <t>Technical</t>
        </is>
      </c>
      <c r="D9" s="20" t="inlineStr">
        <is>
          <t>F4, F5</t>
        </is>
      </c>
      <c r="E9" s="20" t="n">
        <v>3</v>
      </c>
      <c r="F9" s="20" t="n">
        <v>4</v>
      </c>
      <c r="G9" s="20">
        <f>E9*F9</f>
        <v/>
      </c>
      <c r="H9" s="20">
        <f>IF(G9&gt;=15,"CRITICAL",IF(G9&gt;=10,"HIGH",IF(G9&gt;=5,"MEDIUM","LOW")))</f>
        <v/>
      </c>
      <c r="I9" s="20" t="inlineStr">
        <is>
          <t>Mitigate</t>
        </is>
      </c>
      <c r="J9" s="20" t="inlineStr">
        <is>
          <t>Apply security checklist throughout F2 to reduce findings</t>
        </is>
      </c>
      <c r="K9" s="20" t="inlineStr">
        <is>
          <t>TA</t>
        </is>
      </c>
      <c r="L9" s="20" t="n">
        <v>5</v>
      </c>
      <c r="M9" s="20">
        <f>L9*500</f>
        <v/>
      </c>
    </row>
    <row r="10">
      <c r="A10" t="inlineStr">
        <is>
          <t>R9</t>
        </is>
      </c>
      <c r="B10" t="inlineStr">
        <is>
          <t>Accessibility audit finds gaps requiring UI rework</t>
        </is>
      </c>
      <c r="C10" t="inlineStr">
        <is>
          <t>Technical</t>
        </is>
      </c>
      <c r="D10" t="inlineStr">
        <is>
          <t>F4, F5</t>
        </is>
      </c>
      <c r="E10" t="n">
        <v>3</v>
      </c>
      <c r="F10" t="n">
        <v>3</v>
      </c>
      <c r="G10">
        <f>E10*F10</f>
        <v/>
      </c>
      <c r="H10">
        <f>IF(G10&gt;=15,"CRITICAL",IF(G10&gt;=10,"HIGH",IF(G10&gt;=5,"MEDIUM","LOW")))</f>
        <v/>
      </c>
      <c r="I10" t="inlineStr">
        <is>
          <t>Mitigate</t>
        </is>
      </c>
      <c r="J10" t="inlineStr">
        <is>
          <t>Continuous accessibility checks during F2 front-end work</t>
        </is>
      </c>
      <c r="K10" t="inlineStr">
        <is>
          <t>UX</t>
        </is>
      </c>
      <c r="L10" t="n">
        <v>4</v>
      </c>
      <c r="M10">
        <f>L10*500</f>
        <v/>
      </c>
    </row>
    <row r="11">
      <c r="A11" s="20" t="inlineStr">
        <is>
          <t>R10</t>
        </is>
      </c>
      <c r="B11" s="20" t="inlineStr">
        <is>
          <t>UAT defect rate exceeds expectations</t>
        </is>
      </c>
      <c r="C11" s="20" t="inlineStr">
        <is>
          <t>External</t>
        </is>
      </c>
      <c r="D11" s="20" t="inlineStr">
        <is>
          <t>F6</t>
        </is>
      </c>
      <c r="E11" s="20" t="n">
        <v>3</v>
      </c>
      <c r="F11" s="20" t="n">
        <v>4</v>
      </c>
      <c r="G11" s="20">
        <f>E11*F11</f>
        <v/>
      </c>
      <c r="H11" s="20">
        <f>IF(G11&gt;=15,"CRITICAL",IF(G11&gt;=10,"HIGH",IF(G11&gt;=5,"MEDIUM","LOW")))</f>
        <v/>
      </c>
      <c r="I11" s="20" t="inlineStr">
        <is>
          <t>Mitigate</t>
        </is>
      </c>
      <c r="J11" s="20" t="inlineStr">
        <is>
          <t>Pre-UAT walkthrough with the client before window opens</t>
        </is>
      </c>
      <c r="K11" s="20" t="inlineStr">
        <is>
          <t>PM</t>
        </is>
      </c>
      <c r="L11" s="20" t="n">
        <v>6</v>
      </c>
      <c r="M11" s="20">
        <f>L11*500</f>
        <v/>
      </c>
    </row>
    <row r="12">
      <c r="A12" s="20" t="inlineStr">
        <is>
          <t>R11</t>
        </is>
      </c>
      <c r="B12" s="20" t="inlineStr">
        <is>
          <t>Production deploy fails the release window</t>
        </is>
      </c>
      <c r="C12" s="20" t="inlineStr">
        <is>
          <t>External</t>
        </is>
      </c>
      <c r="D12" s="20" t="inlineStr">
        <is>
          <t>F7</t>
        </is>
      </c>
      <c r="E12" s="20" t="n">
        <v>2</v>
      </c>
      <c r="F12" s="20" t="n">
        <v>5</v>
      </c>
      <c r="G12" s="20">
        <f>E12*F12</f>
        <v/>
      </c>
      <c r="H12" s="20">
        <f>IF(G12&gt;=15,"CRITICAL",IF(G12&gt;=10,"HIGH",IF(G12&gt;=5,"MEDIUM","LOW")))</f>
        <v/>
      </c>
      <c r="I12" s="20" t="inlineStr">
        <is>
          <t>Mitigate</t>
        </is>
      </c>
      <c r="J12" s="20" t="inlineStr">
        <is>
          <t>Run a full dry-run deployment in pre-prod 1 week earlier</t>
        </is>
      </c>
      <c r="K12" s="20" t="inlineStr">
        <is>
          <t>DEVOPS</t>
        </is>
      </c>
      <c r="L12" s="20" t="n">
        <v>3</v>
      </c>
      <c r="M12" s="20">
        <f>L12*500</f>
        <v/>
      </c>
    </row>
    <row r="14">
      <c r="A14" s="11" t="inlineStr">
        <is>
          <t>TOTAL</t>
        </is>
      </c>
      <c r="L14" s="11">
        <f>SUM(L2:L12)</f>
        <v/>
      </c>
      <c r="M14" s="11">
        <f>SUM(M2:M12)</f>
        <v/>
      </c>
    </row>
    <row r="15">
      <c r="A15" t="inlineStr">
        <is>
          <t>Management Reserve</t>
        </is>
      </c>
      <c r="L15">
        <f>(WBS!H40*(1+0.1+0.05)+L14)*0.2</f>
        <v/>
      </c>
      <c r="M15">
        <f>(WBS!H40*(1+0.1+0.05)+L14)*0.2*500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Project kickoff, environment validation, requirements freeze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WBS!B8</f>
        <v/>
      </c>
      <c r="B3" s="2" t="inlineStr">
        <is>
          <t>User journeys, wireframes, accessibility-first design</t>
        </is>
      </c>
      <c r="C3" s="4">
        <f>WBS!E8</f>
        <v/>
      </c>
      <c r="D3" s="4">
        <f>WBS!F8</f>
        <v/>
      </c>
      <c r="E3" s="4">
        <f>WBS!G8</f>
        <v/>
      </c>
      <c r="F3" s="4">
        <f>WBS!H8</f>
        <v/>
      </c>
      <c r="G3" s="4">
        <f>WBS!I8</f>
        <v/>
      </c>
      <c r="H3" s="4">
        <f>WBS!J8</f>
        <v/>
      </c>
      <c r="I3" s="4">
        <f>WBS!K8</f>
        <v/>
      </c>
      <c r="J3" s="4">
        <f>WBS!L8</f>
        <v/>
      </c>
      <c r="K3" s="4">
        <f>WBS!M8</f>
        <v/>
      </c>
    </row>
    <row r="4">
      <c r="A4" s="2">
        <f>WBS!B14</f>
        <v/>
      </c>
      <c r="B4" s="2" t="inlineStr">
        <is>
          <t>Front-end and back-end implementation of the portal</t>
        </is>
      </c>
      <c r="C4" s="4">
        <f>WBS!E14</f>
        <v/>
      </c>
      <c r="D4" s="4">
        <f>WBS!F14</f>
        <v/>
      </c>
      <c r="E4" s="4">
        <f>WBS!G14</f>
        <v/>
      </c>
      <c r="F4" s="4">
        <f>WBS!H14</f>
        <v/>
      </c>
      <c r="G4" s="4">
        <f>WBS!I14</f>
        <v/>
      </c>
      <c r="H4" s="4">
        <f>WBS!J14</f>
        <v/>
      </c>
      <c r="I4" s="4">
        <f>WBS!K14</f>
        <v/>
      </c>
      <c r="J4" s="4">
        <f>WBS!L14</f>
        <v/>
      </c>
      <c r="K4" s="4">
        <f>WBS!M14</f>
        <v/>
      </c>
    </row>
    <row r="5">
      <c r="A5" s="2">
        <f>WBS!B19</f>
        <v/>
      </c>
      <c r="B5" s="2" t="inlineStr">
        <is>
          <t>Three integrations with internal authoritative sources, parallel with F2</t>
        </is>
      </c>
      <c r="C5" s="4">
        <f>WBS!E19</f>
        <v/>
      </c>
      <c r="D5" s="4">
        <f>WBS!F19</f>
        <v/>
      </c>
      <c r="E5" s="4">
        <f>WBS!G19</f>
        <v/>
      </c>
      <c r="F5" s="4">
        <f>WBS!H19</f>
        <v/>
      </c>
      <c r="G5" s="4">
        <f>WBS!I19</f>
        <v/>
      </c>
      <c r="H5" s="4">
        <f>WBS!J19</f>
        <v/>
      </c>
      <c r="I5" s="4">
        <f>WBS!K19</f>
        <v/>
      </c>
      <c r="J5" s="4">
        <f>WBS!L19</f>
        <v/>
      </c>
      <c r="K5" s="4">
        <f>WBS!M19</f>
        <v/>
      </c>
    </row>
    <row r="6">
      <c r="A6" s="2">
        <f>WBS!B26</f>
        <v/>
      </c>
      <c r="B6" s="2" t="inlineStr">
        <is>
          <t>Independent audit gate before UAT</t>
        </is>
      </c>
      <c r="C6" s="4">
        <f>WBS!E26</f>
        <v/>
      </c>
      <c r="D6" s="4">
        <f>WBS!F26</f>
        <v/>
      </c>
      <c r="E6" s="4">
        <f>WBS!G26</f>
        <v/>
      </c>
      <c r="F6" s="4">
        <f>WBS!H26</f>
        <v/>
      </c>
      <c r="G6" s="4">
        <f>WBS!I26</f>
        <v/>
      </c>
      <c r="H6" s="4">
        <f>WBS!J26</f>
        <v/>
      </c>
      <c r="I6" s="4">
        <f>WBS!K26</f>
        <v/>
      </c>
      <c r="J6" s="4">
        <f>WBS!L26</f>
        <v/>
      </c>
      <c r="K6" s="4">
        <f>WBS!M26</f>
        <v/>
      </c>
    </row>
    <row r="7">
      <c r="A7" s="2">
        <f>WBS!B30</f>
        <v/>
      </c>
      <c r="B7" s="2" t="inlineStr">
        <is>
          <t>Internal QA pass before client UAT</t>
        </is>
      </c>
      <c r="C7" s="4">
        <f>WBS!E30</f>
        <v/>
      </c>
      <c r="D7" s="4">
        <f>WBS!F30</f>
        <v/>
      </c>
      <c r="E7" s="4">
        <f>WBS!G30</f>
        <v/>
      </c>
      <c r="F7" s="4">
        <f>WBS!H30</f>
        <v/>
      </c>
      <c r="G7" s="4">
        <f>WBS!I30</f>
        <v/>
      </c>
      <c r="H7" s="4">
        <f>WBS!J30</f>
        <v/>
      </c>
      <c r="I7" s="4">
        <f>WBS!K30</f>
        <v/>
      </c>
      <c r="J7" s="4">
        <f>WBS!L30</f>
        <v/>
      </c>
      <c r="K7" s="4">
        <f>WBS!M30</f>
        <v/>
      </c>
    </row>
    <row r="8">
      <c r="A8" s="2">
        <f>WBS!B33</f>
        <v/>
      </c>
      <c r="B8" s="2" t="inlineStr">
        <is>
          <t>Client-side User Acceptance Testing window</t>
        </is>
      </c>
      <c r="C8" s="4">
        <f>WBS!E33</f>
        <v/>
      </c>
      <c r="D8" s="4">
        <f>WBS!F33</f>
        <v/>
      </c>
      <c r="E8" s="4">
        <f>WBS!G33</f>
        <v/>
      </c>
      <c r="F8" s="4">
        <f>WBS!H33</f>
        <v/>
      </c>
      <c r="G8" s="4">
        <f>WBS!I33</f>
        <v/>
      </c>
      <c r="H8" s="4">
        <f>WBS!J33</f>
        <v/>
      </c>
      <c r="I8" s="4">
        <f>WBS!K33</f>
        <v/>
      </c>
      <c r="J8" s="4">
        <f>WBS!L33</f>
        <v/>
      </c>
      <c r="K8" s="4">
        <f>WBS!M33</f>
        <v/>
      </c>
    </row>
    <row r="9">
      <c r="A9" s="2">
        <f>WBS!B36</f>
        <v/>
      </c>
      <c r="B9" s="2" t="inlineStr">
        <is>
          <t>Production rollout and 2-week hypercare window</t>
        </is>
      </c>
      <c r="C9" s="4">
        <f>WBS!E36</f>
        <v/>
      </c>
      <c r="D9" s="4">
        <f>WBS!F36</f>
        <v/>
      </c>
      <c r="E9" s="4">
        <f>WBS!G36</f>
        <v/>
      </c>
      <c r="F9" s="4">
        <f>WBS!H36</f>
        <v/>
      </c>
      <c r="G9" s="4">
        <f>WBS!I36</f>
        <v/>
      </c>
      <c r="H9" s="4">
        <f>WBS!J36</f>
        <v/>
      </c>
      <c r="I9" s="4">
        <f>WBS!K36</f>
        <v/>
      </c>
      <c r="J9" s="4">
        <f>WBS!L36</f>
        <v/>
      </c>
      <c r="K9" s="4">
        <f>WBS!M36</f>
        <v/>
      </c>
    </row>
    <row r="10">
      <c r="A10" s="11" t="inlineStr">
        <is>
          <t>TOTAL</t>
        </is>
      </c>
      <c r="B10" s="11" t="n"/>
      <c r="C10" s="13">
        <f>SUM(C2:C9)</f>
        <v/>
      </c>
      <c r="D10" s="13">
        <f>SUM(D2:D9)</f>
        <v/>
      </c>
      <c r="E10" s="13">
        <f>SUM(E2:E9)</f>
        <v/>
      </c>
      <c r="F10" s="13">
        <f>SUM(F2:F9)</f>
        <v/>
      </c>
      <c r="G10" s="13">
        <f>SUM(G2:G9)</f>
        <v/>
      </c>
      <c r="H10" s="13">
        <f>SUM(H2:H9)</f>
        <v/>
      </c>
      <c r="I10" s="13">
        <f>SUM(I2:I9)</f>
        <v/>
      </c>
      <c r="J10" s="13">
        <f>SUM(J2:J9)</f>
        <v/>
      </c>
      <c r="K10" s="13">
        <f>SUM(K2:K9)</f>
        <v/>
      </c>
    </row>
    <row r="12">
      <c r="A12" t="inlineStr">
        <is>
          <t>Tech PERT Effort (PD)</t>
        </is>
      </c>
      <c r="B12">
        <f>F10</f>
        <v/>
      </c>
    </row>
    <row r="13">
      <c r="A13" t="inlineStr">
        <is>
          <t>PM Overhead (+10%) (PD)</t>
        </is>
      </c>
      <c r="B13">
        <f>B12*0.1</f>
        <v/>
      </c>
    </row>
    <row r="14">
      <c r="A14" t="inlineStr">
        <is>
          <t>DevOps Overhead (+5%) (PD)</t>
        </is>
      </c>
      <c r="B14">
        <f>B12*0.05</f>
        <v/>
      </c>
    </row>
    <row r="15">
      <c r="A15" t="inlineStr">
        <is>
          <t>Subtotale Tech + Overhead (PD)</t>
        </is>
      </c>
      <c r="B15">
        <f>B12+B13+B14</f>
        <v/>
      </c>
    </row>
    <row r="16">
      <c r="A16" t="inlineStr">
        <is>
          <t>Contingency per-rischio (PD)</t>
        </is>
      </c>
      <c r="B16">
        <f>Rischi!L14</f>
        <v/>
      </c>
    </row>
    <row r="17">
      <c r="A17" t="inlineStr">
        <is>
          <t>Fascia BASSA</t>
        </is>
      </c>
      <c r="B17">
        <f>B15+B16</f>
        <v/>
      </c>
    </row>
    <row r="18">
      <c r="A18" t="inlineStr">
        <is>
          <t>Management Reserve (20%) (PD)</t>
        </is>
      </c>
      <c r="B18">
        <f>B17*0.2</f>
        <v/>
      </c>
    </row>
    <row r="19">
      <c r="A19" t="inlineStr">
        <is>
          <t>Fascia MEDIA (raccomandata)</t>
        </is>
      </c>
      <c r="B19">
        <f>B17+B18</f>
        <v/>
      </c>
    </row>
    <row r="20">
      <c r="A20" t="inlineStr">
        <is>
          <t>Fascia ALTA</t>
        </is>
      </c>
      <c r="B20">
        <f>B19*(1+0.12)</f>
        <v/>
      </c>
    </row>
    <row r="21">
      <c r="A21" t="inlineStr">
        <is>
          <t>Effort Billable Totale (PD)</t>
        </is>
      </c>
      <c r="B21">
        <f>WBS!S40</f>
        <v/>
      </c>
    </row>
    <row r="22">
      <c r="A22" t="inlineStr">
        <is>
          <t>Quota Billable</t>
        </is>
      </c>
      <c r="B22">
        <f>B21/B12</f>
        <v/>
      </c>
    </row>
    <row r="24">
      <c r="A24" t="inlineStr">
        <is>
          <t>Durata Calendario (settimane)</t>
        </is>
      </c>
      <c r="B24" s="21" t="n">
        <v>25</v>
      </c>
    </row>
    <row r="26">
      <c r="A26" s="22" t="inlineStr">
        <is>
          <t>Effort per Team (PD)</t>
        </is>
      </c>
    </row>
    <row r="27">
      <c r="A27" t="inlineStr">
        <is>
          <t>Build</t>
        </is>
      </c>
      <c r="B27" s="16" t="n">
        <v>105</v>
      </c>
    </row>
    <row r="28">
      <c r="A28" t="inlineStr">
        <is>
          <t>Delivery</t>
        </is>
      </c>
      <c r="B28" s="16" t="n">
        <v>22.33333333333334</v>
      </c>
    </row>
    <row r="29">
      <c r="A29" t="inlineStr">
        <is>
          <t>Design</t>
        </is>
      </c>
      <c r="B29" s="16" t="n">
        <v>13.33333333333333</v>
      </c>
    </row>
    <row r="30">
      <c r="A30" t="inlineStr">
        <is>
          <t>Operations</t>
        </is>
      </c>
      <c r="B30" s="16" t="n">
        <v>7.166666666666667</v>
      </c>
    </row>
    <row r="31">
      <c r="A31" t="inlineStr">
        <is>
          <t>Quality</t>
        </is>
      </c>
      <c r="B31" s="16" t="n">
        <v>20.83333333333334</v>
      </c>
    </row>
    <row r="33">
      <c r="A33" s="22" t="inlineStr">
        <is>
          <t>Scenari di Sensitivity</t>
        </is>
      </c>
    </row>
    <row r="34">
      <c r="A34" t="inlineStr">
        <is>
          <t>Optimistic: ~85% of Fascia MEDIA if integration vendors deliver on schedule and audit finds no major issues</t>
        </is>
      </c>
    </row>
    <row r="35">
      <c r="A35" t="inlineStr">
        <is>
          <t>Realistic: Fascia MEDIA — current best estimate including overhead and MR</t>
        </is>
      </c>
    </row>
    <row r="36">
      <c r="A36" t="inlineStr">
        <is>
          <t>Pessimistic: ~120% of Fascia MEDIA if integration vendor delays compound and require UAT rework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2026-09-29T17:41:18Z</dcterms:created>
  <dcterms:modified xmlns:dcterms="http://purl.org/dc/terms/" xmlns:xsi="http://www.w3.org/2001/XMLSchema-instance" xsi:type="dcterms:W3CDTF">2026-09-29T17:41:18Z</dcterms:modified>
</cp:coreProperties>
</file>