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esource Plan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color rgb="FFFFFFFF"/>
    </font>
    <font>
      <b val="1"/>
    </font>
    <font/>
    <font>
      <i val="1"/>
    </font>
    <font>
      <b val="1"/>
      <color rgb="FF9C0006"/>
    </font>
    <font>
      <b val="1"/>
      <color rgb="FFFF0000"/>
    </font>
  </fonts>
  <fills count="7">
    <fill>
      <patternFill/>
    </fill>
    <fill>
      <patternFill patternType="gray125"/>
    </fill>
    <fill>
      <patternFill patternType="solid">
        <fgColor rgb="FF264653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2F2F2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2" fillId="2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4" fontId="3" fillId="4" borderId="0" applyAlignment="1" pivotButton="0" quotePrefix="0" xfId="0">
      <alignment wrapText="1"/>
    </xf>
    <xf numFmtId="4" fontId="3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" fontId="4" fillId="0" borderId="0" applyAlignment="1" pivotButton="0" quotePrefix="0" xfId="0">
      <alignment wrapText="1"/>
    </xf>
    <xf numFmtId="4" fontId="4" fillId="3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4" fontId="2" fillId="5" borderId="1" applyAlignment="1" pivotButton="0" quotePrefix="0" xfId="0">
      <alignment wrapText="1"/>
    </xf>
    <xf numFmtId="4" fontId="2" fillId="3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4" fontId="0" fillId="6" borderId="0" pivotButton="0" quotePrefix="0" xfId="0"/>
    <xf numFmtId="4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25" customWidth="1" min="14" max="14"/>
    <col width="20" customWidth="1" min="15" max="15"/>
    <col width="20" customWidth="1" min="16" max="16"/>
    <col width="25" customWidth="1" min="17" max="17"/>
    <col width="10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Work Package</t>
        </is>
      </c>
      <c r="D1" s="1" t="inlineStr">
        <is>
          <t>Activity</t>
        </is>
      </c>
      <c r="E1" s="1" t="inlineStr">
        <is>
          <t>Best Effort (hours)</t>
        </is>
      </c>
      <c r="F1" s="1" t="inlineStr">
        <is>
          <t>Likely Effort (hours)</t>
        </is>
      </c>
      <c r="G1" s="1" t="inlineStr">
        <is>
          <t>Worst Effort (hours)</t>
        </is>
      </c>
      <c r="H1" s="1" t="inlineStr">
        <is>
          <t>PERT Effort (hours)</t>
        </is>
      </c>
      <c r="I1" s="1" t="inlineStr">
        <is>
          <t>Best Duration (weeks)</t>
        </is>
      </c>
      <c r="J1" s="1" t="inlineStr">
        <is>
          <t>Likely Duration (weeks)</t>
        </is>
      </c>
      <c r="K1" s="1" t="inlineStr">
        <is>
          <t>Worst Duration (weeks)</t>
        </is>
      </c>
      <c r="L1" s="1" t="inlineStr">
        <is>
          <t>PERT Duration (weeks)</t>
        </is>
      </c>
      <c r="M1" s="1" t="inlineStr">
        <is>
          <t>σ Duration</t>
        </is>
      </c>
      <c r="N1" s="1" t="inlineStr">
        <is>
          <t>Resources</t>
        </is>
      </c>
      <c r="O1" s="1" t="inlineStr">
        <is>
          <t>Dependencies</t>
        </is>
      </c>
      <c r="P1" s="1" t="inlineStr">
        <is>
          <t>Risks</t>
        </is>
      </c>
      <c r="Q1" s="1" t="inlineStr">
        <is>
          <t>Notes</t>
        </is>
      </c>
      <c r="R1" s="1" t="inlineStr">
        <is>
          <t>Billable</t>
        </is>
      </c>
      <c r="S1" s="1" t="inlineStr">
        <is>
          <t>Billable PERT Effort</t>
        </is>
      </c>
    </row>
    <row r="2">
      <c r="A2" s="2" t="inlineStr">
        <is>
          <t>1</t>
        </is>
      </c>
      <c r="B2" s="2" t="inlineStr">
        <is>
          <t>Diagnostic</t>
        </is>
      </c>
      <c r="C2" s="2" t="n"/>
      <c r="D2" s="2" t="n"/>
      <c r="E2" s="3">
        <f>SUM(E4,E5,E6,E8,E9)</f>
        <v/>
      </c>
      <c r="F2" s="3">
        <f>SUM(F4,F5,F6,F8,F9)</f>
        <v/>
      </c>
      <c r="G2" s="3">
        <f>SUM(G4,G5,G6,G8,G9)</f>
        <v/>
      </c>
      <c r="H2" s="4">
        <f>(E2+4*F2+G2)/6</f>
        <v/>
      </c>
      <c r="I2" s="3">
        <f>SUM(I4,I5,I6,I8,I9)</f>
        <v/>
      </c>
      <c r="J2" s="3">
        <f>SUM(J4,J5,J6,J8,J9)</f>
        <v/>
      </c>
      <c r="K2" s="3">
        <f>SUM(K4,K5,K6,K8,K9)</f>
        <v/>
      </c>
      <c r="L2" s="4">
        <f>(I2+4*J2+K2)/6</f>
        <v/>
      </c>
      <c r="M2" s="4">
        <f>(K2-I2)/6</f>
        <v/>
      </c>
      <c r="N2" s="2" t="n"/>
      <c r="O2" s="2" t="n"/>
      <c r="P2" s="2" t="n"/>
      <c r="Q2" s="2" t="n"/>
      <c r="R2" s="2" t="n"/>
      <c r="S2" s="4">
        <f>SUM(S4,S5,S6,S8,S9)</f>
        <v/>
      </c>
    </row>
    <row r="3">
      <c r="A3" s="5" t="inlineStr">
        <is>
          <t>1.1</t>
        </is>
      </c>
      <c r="B3" s="5" t="n"/>
      <c r="C3" s="5" t="inlineStr">
        <is>
          <t>Current State Assessment</t>
        </is>
      </c>
      <c r="D3" s="5" t="n"/>
      <c r="E3" s="6">
        <f>SUM(E4:E6)</f>
        <v/>
      </c>
      <c r="F3" s="6">
        <f>SUM(F4:F6)</f>
        <v/>
      </c>
      <c r="G3" s="6">
        <f>SUM(G4:G6)</f>
        <v/>
      </c>
      <c r="H3" s="7">
        <f>(E3+4*F3+G3)/6</f>
        <v/>
      </c>
      <c r="I3" s="6">
        <f>SUM(I4:I6)</f>
        <v/>
      </c>
      <c r="J3" s="6">
        <f>SUM(J4:J6)</f>
        <v/>
      </c>
      <c r="K3" s="6">
        <f>SUM(K4:K6)</f>
        <v/>
      </c>
      <c r="L3" s="7">
        <f>(I3+4*J3+K3)/6</f>
        <v/>
      </c>
      <c r="M3" s="7">
        <f>(K3-I3)/6</f>
        <v/>
      </c>
      <c r="N3" s="5" t="n"/>
      <c r="O3" s="5" t="n"/>
      <c r="P3" s="5" t="n"/>
      <c r="Q3" s="5" t="n"/>
      <c r="R3" s="5" t="n"/>
      <c r="S3" s="7">
        <f>SUM(S4:S6)</f>
        <v/>
      </c>
    </row>
    <row r="4">
      <c r="A4" s="8" t="inlineStr">
        <is>
          <t>1.1.1</t>
        </is>
      </c>
      <c r="B4" s="8" t="n"/>
      <c r="C4" s="8" t="n"/>
      <c r="D4" s="8" t="inlineStr">
        <is>
          <t>Stakeholder Interviews</t>
        </is>
      </c>
      <c r="E4" s="9" t="n">
        <v>32</v>
      </c>
      <c r="F4" s="9" t="n">
        <v>40</v>
      </c>
      <c r="G4" s="9" t="n">
        <v>56</v>
      </c>
      <c r="H4" s="10">
        <f>(E4+4*F4+G4)/6</f>
        <v/>
      </c>
      <c r="I4" s="9" t="n">
        <v>1</v>
      </c>
      <c r="J4" s="9" t="n">
        <v>2</v>
      </c>
      <c r="K4" s="9" t="n">
        <v>3</v>
      </c>
      <c r="L4" s="10">
        <f>(I4+4*J4+K4)/6</f>
        <v/>
      </c>
      <c r="M4" s="10">
        <f>(K4-I4)/6</f>
        <v/>
      </c>
      <c r="N4" s="8" t="inlineStr">
        <is>
          <t>PRT, SC</t>
        </is>
      </c>
      <c r="O4" s="8" t="inlineStr"/>
      <c r="P4" s="8" t="inlineStr">
        <is>
          <t>R1, R2</t>
        </is>
      </c>
      <c r="Q4" s="8" t="inlineStr">
        <is>
          <t>20 structured interviews across 3 entities</t>
        </is>
      </c>
      <c r="R4" s="8" t="inlineStr">
        <is>
          <t>Y</t>
        </is>
      </c>
      <c r="S4" s="10">
        <f>IF(R4="Y",H4,0)</f>
        <v/>
      </c>
    </row>
    <row r="5">
      <c r="A5" s="8" t="inlineStr">
        <is>
          <t>1.1.2</t>
        </is>
      </c>
      <c r="B5" s="8" t="n"/>
      <c r="C5" s="8" t="n"/>
      <c r="D5" s="8" t="inlineStr">
        <is>
          <t>Document &amp; Process Review</t>
        </is>
      </c>
      <c r="E5" s="9" t="n">
        <v>16</v>
      </c>
      <c r="F5" s="9" t="n">
        <v>24</v>
      </c>
      <c r="G5" s="9" t="n">
        <v>40</v>
      </c>
      <c r="H5" s="10">
        <f>(E5+4*F5+G5)/6</f>
        <v/>
      </c>
      <c r="I5" s="9" t="n">
        <v>1</v>
      </c>
      <c r="J5" s="9" t="n">
        <v>1</v>
      </c>
      <c r="K5" s="9" t="n">
        <v>2</v>
      </c>
      <c r="L5" s="10">
        <f>(I5+4*J5+K5)/6</f>
        <v/>
      </c>
      <c r="M5" s="10">
        <f>(K5-I5)/6</f>
        <v/>
      </c>
      <c r="N5" s="8" t="inlineStr">
        <is>
          <t>SC, JC</t>
        </is>
      </c>
      <c r="O5" s="8" t="inlineStr">
        <is>
          <t>1.1.1</t>
        </is>
      </c>
      <c r="P5" s="8" t="inlineStr">
        <is>
          <t>R4</t>
        </is>
      </c>
      <c r="Q5" s="8" t="inlineStr">
        <is>
          <t>Org charts, process maps, governance documents</t>
        </is>
      </c>
      <c r="R5" s="8" t="inlineStr">
        <is>
          <t>Y</t>
        </is>
      </c>
      <c r="S5" s="10">
        <f>IF(R5="Y",H5,0)</f>
        <v/>
      </c>
    </row>
    <row r="6">
      <c r="A6" s="8" t="inlineStr">
        <is>
          <t>1.1.3</t>
        </is>
      </c>
      <c r="B6" s="8" t="n"/>
      <c r="C6" s="8" t="n"/>
      <c r="D6" s="8" t="inlineStr">
        <is>
          <t>Cultural &amp; Change-Readiness Survey</t>
        </is>
      </c>
      <c r="E6" s="9" t="n">
        <v>12</v>
      </c>
      <c r="F6" s="9" t="n">
        <v>16</v>
      </c>
      <c r="G6" s="9" t="n">
        <v>24</v>
      </c>
      <c r="H6" s="10">
        <f>(E6+4*F6+G6)/6</f>
        <v/>
      </c>
      <c r="I6" s="9" t="n">
        <v>1</v>
      </c>
      <c r="J6" s="9" t="n">
        <v>1</v>
      </c>
      <c r="K6" s="9" t="n">
        <v>2</v>
      </c>
      <c r="L6" s="10">
        <f>(I6+4*J6+K6)/6</f>
        <v/>
      </c>
      <c r="M6" s="10">
        <f>(K6-I6)/6</f>
        <v/>
      </c>
      <c r="N6" s="8" t="inlineStr">
        <is>
          <t>SC</t>
        </is>
      </c>
      <c r="O6" s="8" t="inlineStr"/>
      <c r="P6" s="8" t="inlineStr"/>
      <c r="Q6" s="8" t="inlineStr">
        <is>
          <t>Design, administer and analyse 60-question survey</t>
        </is>
      </c>
      <c r="R6" s="8" t="inlineStr">
        <is>
          <t>Y</t>
        </is>
      </c>
      <c r="S6" s="10">
        <f>IF(R6="Y",H6,0)</f>
        <v/>
      </c>
    </row>
    <row r="7">
      <c r="A7" s="5" t="inlineStr">
        <is>
          <t>1.2</t>
        </is>
      </c>
      <c r="B7" s="5" t="n"/>
      <c r="C7" s="5" t="inlineStr">
        <is>
          <t>Gap Analysis</t>
        </is>
      </c>
      <c r="D7" s="5" t="n"/>
      <c r="E7" s="6">
        <f>SUM(E8:E9)</f>
        <v/>
      </c>
      <c r="F7" s="6">
        <f>SUM(F8:F9)</f>
        <v/>
      </c>
      <c r="G7" s="6">
        <f>SUM(G8:G9)</f>
        <v/>
      </c>
      <c r="H7" s="7">
        <f>(E7+4*F7+G7)/6</f>
        <v/>
      </c>
      <c r="I7" s="6">
        <f>SUM(I8:I9)</f>
        <v/>
      </c>
      <c r="J7" s="6">
        <f>SUM(J8:J9)</f>
        <v/>
      </c>
      <c r="K7" s="6">
        <f>SUM(K8:K9)</f>
        <v/>
      </c>
      <c r="L7" s="7">
        <f>(I7+4*J7+K7)/6</f>
        <v/>
      </c>
      <c r="M7" s="7">
        <f>(K7-I7)/6</f>
        <v/>
      </c>
      <c r="N7" s="5" t="n"/>
      <c r="O7" s="5" t="n"/>
      <c r="P7" s="5" t="n"/>
      <c r="Q7" s="5" t="n"/>
      <c r="R7" s="5" t="n"/>
      <c r="S7" s="7">
        <f>SUM(S8:S9)</f>
        <v/>
      </c>
    </row>
    <row r="8">
      <c r="A8" s="8" t="inlineStr">
        <is>
          <t>1.2.1</t>
        </is>
      </c>
      <c r="B8" s="8" t="n"/>
      <c r="C8" s="8" t="n"/>
      <c r="D8" s="8" t="inlineStr">
        <is>
          <t>Functional Redundancy Mapping</t>
        </is>
      </c>
      <c r="E8" s="9" t="n">
        <v>16</v>
      </c>
      <c r="F8" s="9" t="n">
        <v>24</v>
      </c>
      <c r="G8" s="9" t="n">
        <v>40</v>
      </c>
      <c r="H8" s="10">
        <f>(E8+4*F8+G8)/6</f>
        <v/>
      </c>
      <c r="I8" s="9" t="n">
        <v>1</v>
      </c>
      <c r="J8" s="9" t="n">
        <v>1</v>
      </c>
      <c r="K8" s="9" t="n">
        <v>2</v>
      </c>
      <c r="L8" s="10">
        <f>(I8+4*J8+K8)/6</f>
        <v/>
      </c>
      <c r="M8" s="10">
        <f>(K8-I8)/6</f>
        <v/>
      </c>
      <c r="N8" s="8" t="inlineStr">
        <is>
          <t>SC, JC</t>
        </is>
      </c>
      <c r="O8" s="8" t="inlineStr">
        <is>
          <t>1.1.2</t>
        </is>
      </c>
      <c r="P8" s="8" t="inlineStr"/>
      <c r="Q8" s="8" t="inlineStr">
        <is>
          <t>Cross-map roles and functions across 3 entities</t>
        </is>
      </c>
      <c r="R8" s="8" t="inlineStr">
        <is>
          <t>Y</t>
        </is>
      </c>
      <c r="S8" s="10">
        <f>IF(R8="Y",H8,0)</f>
        <v/>
      </c>
    </row>
    <row r="9">
      <c r="A9" s="8" t="inlineStr">
        <is>
          <t>1.2.2</t>
        </is>
      </c>
      <c r="B9" s="8" t="n"/>
      <c r="C9" s="8" t="n"/>
      <c r="D9" s="8" t="inlineStr">
        <is>
          <t>Diagnostic Report</t>
        </is>
      </c>
      <c r="E9" s="9" t="n">
        <v>12</v>
      </c>
      <c r="F9" s="9" t="n">
        <v>16</v>
      </c>
      <c r="G9" s="9" t="n">
        <v>24</v>
      </c>
      <c r="H9" s="10">
        <f>(E9+4*F9+G9)/6</f>
        <v/>
      </c>
      <c r="I9" s="9" t="n">
        <v>1</v>
      </c>
      <c r="J9" s="9" t="n">
        <v>1</v>
      </c>
      <c r="K9" s="9" t="n">
        <v>2</v>
      </c>
      <c r="L9" s="10">
        <f>(I9+4*J9+K9)/6</f>
        <v/>
      </c>
      <c r="M9" s="10">
        <f>(K9-I9)/6</f>
        <v/>
      </c>
      <c r="N9" s="8" t="inlineStr">
        <is>
          <t>PRT, SC</t>
        </is>
      </c>
      <c r="O9" s="8" t="inlineStr">
        <is>
          <t>1.2.1</t>
        </is>
      </c>
      <c r="P9" s="8" t="inlineStr"/>
      <c r="Q9" s="8" t="inlineStr">
        <is>
          <t>Executive-ready consolidated findings report</t>
        </is>
      </c>
      <c r="R9" s="8" t="inlineStr">
        <is>
          <t>Y</t>
        </is>
      </c>
      <c r="S9" s="10">
        <f>IF(R9="Y",H9,0)</f>
        <v/>
      </c>
    </row>
    <row r="10">
      <c r="A10" s="2" t="inlineStr">
        <is>
          <t>2</t>
        </is>
      </c>
      <c r="B10" s="2" t="inlineStr">
        <is>
          <t>Strategy Design</t>
        </is>
      </c>
      <c r="C10" s="2" t="n"/>
      <c r="D10" s="2" t="n"/>
      <c r="E10" s="3">
        <f>SUM(E12,E13,E14,E16,E17)</f>
        <v/>
      </c>
      <c r="F10" s="3">
        <f>SUM(F12,F13,F14,F16,F17)</f>
        <v/>
      </c>
      <c r="G10" s="3">
        <f>SUM(G12,G13,G14,G16,G17)</f>
        <v/>
      </c>
      <c r="H10" s="4">
        <f>(E10+4*F10+G10)/6</f>
        <v/>
      </c>
      <c r="I10" s="3">
        <f>SUM(I12,I13,I14,I16,I17)</f>
        <v/>
      </c>
      <c r="J10" s="3">
        <f>SUM(J12,J13,J14,J16,J17)</f>
        <v/>
      </c>
      <c r="K10" s="3">
        <f>SUM(K12,K13,K14,K16,K17)</f>
        <v/>
      </c>
      <c r="L10" s="4">
        <f>(I10+4*J10+K10)/6</f>
        <v/>
      </c>
      <c r="M10" s="4">
        <f>(K10-I10)/6</f>
        <v/>
      </c>
      <c r="N10" s="2" t="n"/>
      <c r="O10" s="2" t="n"/>
      <c r="P10" s="2" t="n"/>
      <c r="Q10" s="2" t="n"/>
      <c r="R10" s="2" t="n"/>
      <c r="S10" s="4">
        <f>SUM(S12,S13,S14,S16,S17)</f>
        <v/>
      </c>
    </row>
    <row r="11">
      <c r="A11" s="5" t="inlineStr">
        <is>
          <t>2.1</t>
        </is>
      </c>
      <c r="B11" s="5" t="n"/>
      <c r="C11" s="5" t="inlineStr">
        <is>
          <t>Target Operating Model</t>
        </is>
      </c>
      <c r="D11" s="5" t="n"/>
      <c r="E11" s="6">
        <f>SUM(E12:E14)</f>
        <v/>
      </c>
      <c r="F11" s="6">
        <f>SUM(F12:F14)</f>
        <v/>
      </c>
      <c r="G11" s="6">
        <f>SUM(G12:G14)</f>
        <v/>
      </c>
      <c r="H11" s="7">
        <f>(E11+4*F11+G11)/6</f>
        <v/>
      </c>
      <c r="I11" s="6">
        <f>SUM(I12:I14)</f>
        <v/>
      </c>
      <c r="J11" s="6">
        <f>SUM(J12:J14)</f>
        <v/>
      </c>
      <c r="K11" s="6">
        <f>SUM(K12:K14)</f>
        <v/>
      </c>
      <c r="L11" s="7">
        <f>(I11+4*J11+K11)/6</f>
        <v/>
      </c>
      <c r="M11" s="7">
        <f>(K11-I11)/6</f>
        <v/>
      </c>
      <c r="N11" s="5" t="n"/>
      <c r="O11" s="5" t="n"/>
      <c r="P11" s="5" t="n"/>
      <c r="Q11" s="5" t="n"/>
      <c r="R11" s="5" t="n"/>
      <c r="S11" s="7">
        <f>SUM(S12:S14)</f>
        <v/>
      </c>
    </row>
    <row r="12">
      <c r="A12" s="8" t="inlineStr">
        <is>
          <t>2.1.1</t>
        </is>
      </c>
      <c r="B12" s="8" t="n"/>
      <c r="C12" s="8" t="n"/>
      <c r="D12" s="8" t="inlineStr">
        <is>
          <t>Design Workshops</t>
        </is>
      </c>
      <c r="E12" s="9" t="n">
        <v>32</v>
      </c>
      <c r="F12" s="9" t="n">
        <v>40</v>
      </c>
      <c r="G12" s="9" t="n">
        <v>56</v>
      </c>
      <c r="H12" s="10">
        <f>(E12+4*F12+G12)/6</f>
        <v/>
      </c>
      <c r="I12" s="9" t="n">
        <v>1</v>
      </c>
      <c r="J12" s="9" t="n">
        <v>2</v>
      </c>
      <c r="K12" s="9" t="n">
        <v>3</v>
      </c>
      <c r="L12" s="10">
        <f>(I12+4*J12+K12)/6</f>
        <v/>
      </c>
      <c r="M12" s="10">
        <f>(K12-I12)/6</f>
        <v/>
      </c>
      <c r="N12" s="8" t="inlineStr">
        <is>
          <t>PRT, SC</t>
        </is>
      </c>
      <c r="O12" s="8" t="inlineStr">
        <is>
          <t>1.2.2</t>
        </is>
      </c>
      <c r="P12" s="8" t="inlineStr">
        <is>
          <t>R1, R2</t>
        </is>
      </c>
      <c r="Q12" s="8" t="inlineStr">
        <is>
          <t>3 × full-day facilitated sessions with senior leadership</t>
        </is>
      </c>
      <c r="R12" s="8" t="inlineStr">
        <is>
          <t>Y</t>
        </is>
      </c>
      <c r="S12" s="10">
        <f>IF(R12="Y",H12,0)</f>
        <v/>
      </c>
    </row>
    <row r="13">
      <c r="A13" s="8" t="inlineStr">
        <is>
          <t>2.1.2</t>
        </is>
      </c>
      <c r="B13" s="8" t="n"/>
      <c r="C13" s="8" t="n"/>
      <c r="D13" s="8" t="inlineStr">
        <is>
          <t>Org Structure Design</t>
        </is>
      </c>
      <c r="E13" s="9" t="n">
        <v>32</v>
      </c>
      <c r="F13" s="9" t="n">
        <v>40</v>
      </c>
      <c r="G13" s="9" t="n">
        <v>64</v>
      </c>
      <c r="H13" s="10">
        <f>(E13+4*F13+G13)/6</f>
        <v/>
      </c>
      <c r="I13" s="9" t="n">
        <v>1</v>
      </c>
      <c r="J13" s="9" t="n">
        <v>2</v>
      </c>
      <c r="K13" s="9" t="n">
        <v>3</v>
      </c>
      <c r="L13" s="10">
        <f>(I13+4*J13+K13)/6</f>
        <v/>
      </c>
      <c r="M13" s="10">
        <f>(K13-I13)/6</f>
        <v/>
      </c>
      <c r="N13" s="8" t="inlineStr">
        <is>
          <t>SC</t>
        </is>
      </c>
      <c r="O13" s="8" t="inlineStr">
        <is>
          <t>2.1.1</t>
        </is>
      </c>
      <c r="P13" s="8" t="inlineStr">
        <is>
          <t>R5</t>
        </is>
      </c>
      <c r="Q13" s="8" t="inlineStr">
        <is>
          <t>Reporting lines, spans of control, role profiles</t>
        </is>
      </c>
      <c r="R13" s="8" t="inlineStr">
        <is>
          <t>Y</t>
        </is>
      </c>
      <c r="S13" s="10">
        <f>IF(R13="Y",H13,0)</f>
        <v/>
      </c>
    </row>
    <row r="14">
      <c r="A14" s="8" t="inlineStr">
        <is>
          <t>2.1.3</t>
        </is>
      </c>
      <c r="B14" s="8" t="n"/>
      <c r="C14" s="8" t="n"/>
      <c r="D14" s="8" t="inlineStr">
        <is>
          <t>Governance &amp; Decision Framework</t>
        </is>
      </c>
      <c r="E14" s="9" t="n">
        <v>16</v>
      </c>
      <c r="F14" s="9" t="n">
        <v>24</v>
      </c>
      <c r="G14" s="9" t="n">
        <v>40</v>
      </c>
      <c r="H14" s="10">
        <f>(E14+4*F14+G14)/6</f>
        <v/>
      </c>
      <c r="I14" s="9" t="n">
        <v>1</v>
      </c>
      <c r="J14" s="9" t="n">
        <v>1</v>
      </c>
      <c r="K14" s="9" t="n">
        <v>2</v>
      </c>
      <c r="L14" s="10">
        <f>(I14+4*J14+K14)/6</f>
        <v/>
      </c>
      <c r="M14" s="10">
        <f>(K14-I14)/6</f>
        <v/>
      </c>
      <c r="N14" s="8" t="inlineStr">
        <is>
          <t>SC, JC</t>
        </is>
      </c>
      <c r="O14" s="8" t="inlineStr">
        <is>
          <t>2.1.2</t>
        </is>
      </c>
      <c r="P14" s="8" t="inlineStr"/>
      <c r="Q14" s="8" t="inlineStr">
        <is>
          <t>RACI matrix, committee charters, escalation paths</t>
        </is>
      </c>
      <c r="R14" s="8" t="inlineStr">
        <is>
          <t>Y</t>
        </is>
      </c>
      <c r="S14" s="10">
        <f>IF(R14="Y",H14,0)</f>
        <v/>
      </c>
    </row>
    <row r="15">
      <c r="A15" s="5" t="inlineStr">
        <is>
          <t>2.2</t>
        </is>
      </c>
      <c r="B15" s="5" t="n"/>
      <c r="C15" s="5" t="inlineStr">
        <is>
          <t>Roadmap &amp; Business Case</t>
        </is>
      </c>
      <c r="D15" s="5" t="n"/>
      <c r="E15" s="6">
        <f>SUM(E16:E17)</f>
        <v/>
      </c>
      <c r="F15" s="6">
        <f>SUM(F16:F17)</f>
        <v/>
      </c>
      <c r="G15" s="6">
        <f>SUM(G16:G17)</f>
        <v/>
      </c>
      <c r="H15" s="7">
        <f>(E15+4*F15+G15)/6</f>
        <v/>
      </c>
      <c r="I15" s="6">
        <f>SUM(I16:I17)</f>
        <v/>
      </c>
      <c r="J15" s="6">
        <f>SUM(J16:J17)</f>
        <v/>
      </c>
      <c r="K15" s="6">
        <f>SUM(K16:K17)</f>
        <v/>
      </c>
      <c r="L15" s="7">
        <f>(I15+4*J15+K15)/6</f>
        <v/>
      </c>
      <c r="M15" s="7">
        <f>(K15-I15)/6</f>
        <v/>
      </c>
      <c r="N15" s="5" t="n"/>
      <c r="O15" s="5" t="n"/>
      <c r="P15" s="5" t="n"/>
      <c r="Q15" s="5" t="n"/>
      <c r="R15" s="5" t="n"/>
      <c r="S15" s="7">
        <f>SUM(S16:S17)</f>
        <v/>
      </c>
    </row>
    <row r="16">
      <c r="A16" s="8" t="inlineStr">
        <is>
          <t>2.2.1</t>
        </is>
      </c>
      <c r="B16" s="8" t="n"/>
      <c r="C16" s="8" t="n"/>
      <c r="D16" s="8" t="inlineStr">
        <is>
          <t>Transformation Roadmap</t>
        </is>
      </c>
      <c r="E16" s="9" t="n">
        <v>16</v>
      </c>
      <c r="F16" s="9" t="n">
        <v>24</v>
      </c>
      <c r="G16" s="9" t="n">
        <v>40</v>
      </c>
      <c r="H16" s="10">
        <f>(E16+4*F16+G16)/6</f>
        <v/>
      </c>
      <c r="I16" s="9" t="n">
        <v>1</v>
      </c>
      <c r="J16" s="9" t="n">
        <v>1</v>
      </c>
      <c r="K16" s="9" t="n">
        <v>2</v>
      </c>
      <c r="L16" s="10">
        <f>(I16+4*J16+K16)/6</f>
        <v/>
      </c>
      <c r="M16" s="10">
        <f>(K16-I16)/6</f>
        <v/>
      </c>
      <c r="N16" s="8" t="inlineStr">
        <is>
          <t>SC, JC</t>
        </is>
      </c>
      <c r="O16" s="8" t="inlineStr">
        <is>
          <t>2.1.3</t>
        </is>
      </c>
      <c r="P16" s="8" t="inlineStr">
        <is>
          <t>R3</t>
        </is>
      </c>
      <c r="Q16" s="8" t="inlineStr">
        <is>
          <t>Phased implementation plan, milestones, KPIs</t>
        </is>
      </c>
      <c r="R16" s="8" t="inlineStr">
        <is>
          <t>Y</t>
        </is>
      </c>
      <c r="S16" s="10">
        <f>IF(R16="Y",H16,0)</f>
        <v/>
      </c>
    </row>
    <row r="17">
      <c r="A17" s="8" t="inlineStr">
        <is>
          <t>2.2.2</t>
        </is>
      </c>
      <c r="B17" s="8" t="n"/>
      <c r="C17" s="8" t="n"/>
      <c r="D17" s="8" t="inlineStr">
        <is>
          <t>Business Case &amp; ROI Model</t>
        </is>
      </c>
      <c r="E17" s="9" t="n">
        <v>16</v>
      </c>
      <c r="F17" s="9" t="n">
        <v>24</v>
      </c>
      <c r="G17" s="9" t="n">
        <v>40</v>
      </c>
      <c r="H17" s="10">
        <f>(E17+4*F17+G17)/6</f>
        <v/>
      </c>
      <c r="I17" s="9" t="n">
        <v>1</v>
      </c>
      <c r="J17" s="9" t="n">
        <v>1</v>
      </c>
      <c r="K17" s="9" t="n">
        <v>2</v>
      </c>
      <c r="L17" s="10">
        <f>(I17+4*J17+K17)/6</f>
        <v/>
      </c>
      <c r="M17" s="10">
        <f>(K17-I17)/6</f>
        <v/>
      </c>
      <c r="N17" s="8" t="inlineStr">
        <is>
          <t>PRT, SC</t>
        </is>
      </c>
      <c r="O17" s="8" t="inlineStr">
        <is>
          <t>2.2.1</t>
        </is>
      </c>
      <c r="P17" s="8" t="inlineStr"/>
      <c r="Q17" s="8" t="inlineStr">
        <is>
          <t>Quantify savings, FTE impact, strategic value</t>
        </is>
      </c>
      <c r="R17" s="8" t="inlineStr">
        <is>
          <t>Y</t>
        </is>
      </c>
      <c r="S17" s="10">
        <f>IF(R17="Y",H17,0)</f>
        <v/>
      </c>
    </row>
    <row r="18">
      <c r="A18" s="2" t="inlineStr">
        <is>
          <t>3</t>
        </is>
      </c>
      <c r="B18" s="2" t="inlineStr">
        <is>
          <t>Implementation Support</t>
        </is>
      </c>
      <c r="C18" s="2" t="n"/>
      <c r="D18" s="2" t="n"/>
      <c r="E18" s="3">
        <f>SUM(E20,E21,E23,E24)</f>
        <v/>
      </c>
      <c r="F18" s="3">
        <f>SUM(F20,F21,F23,F24)</f>
        <v/>
      </c>
      <c r="G18" s="3">
        <f>SUM(G20,G21,G23,G24)</f>
        <v/>
      </c>
      <c r="H18" s="4">
        <f>(E18+4*F18+G18)/6</f>
        <v/>
      </c>
      <c r="I18" s="3">
        <f>SUM(I20,I21,I23,I24)</f>
        <v/>
      </c>
      <c r="J18" s="3">
        <f>SUM(J20,J21,J23,J24)</f>
        <v/>
      </c>
      <c r="K18" s="3">
        <f>SUM(K20,K21,K23,K24)</f>
        <v/>
      </c>
      <c r="L18" s="4">
        <f>(I18+4*J18+K18)/6</f>
        <v/>
      </c>
      <c r="M18" s="4">
        <f>(K18-I18)/6</f>
        <v/>
      </c>
      <c r="N18" s="2" t="n"/>
      <c r="O18" s="2" t="n"/>
      <c r="P18" s="2" t="n"/>
      <c r="Q18" s="2" t="n"/>
      <c r="R18" s="2" t="n"/>
      <c r="S18" s="4">
        <f>SUM(S20,S21,S23,S24)</f>
        <v/>
      </c>
    </row>
    <row r="19">
      <c r="A19" s="5" t="inlineStr">
        <is>
          <t>3.1</t>
        </is>
      </c>
      <c r="B19" s="5" t="n"/>
      <c r="C19" s="5" t="inlineStr">
        <is>
          <t>Change Management</t>
        </is>
      </c>
      <c r="D19" s="5" t="n"/>
      <c r="E19" s="6">
        <f>SUM(E20:E21)</f>
        <v/>
      </c>
      <c r="F19" s="6">
        <f>SUM(F20:F21)</f>
        <v/>
      </c>
      <c r="G19" s="6">
        <f>SUM(G20:G21)</f>
        <v/>
      </c>
      <c r="H19" s="7">
        <f>(E19+4*F19+G19)/6</f>
        <v/>
      </c>
      <c r="I19" s="6">
        <f>SUM(I20:I21)</f>
        <v/>
      </c>
      <c r="J19" s="6">
        <f>SUM(J20:J21)</f>
        <v/>
      </c>
      <c r="K19" s="6">
        <f>SUM(K20:K21)</f>
        <v/>
      </c>
      <c r="L19" s="7">
        <f>(I19+4*J19+K19)/6</f>
        <v/>
      </c>
      <c r="M19" s="7">
        <f>(K19-I19)/6</f>
        <v/>
      </c>
      <c r="N19" s="5" t="n"/>
      <c r="O19" s="5" t="n"/>
      <c r="P19" s="5" t="n"/>
      <c r="Q19" s="5" t="n"/>
      <c r="R19" s="5" t="n"/>
      <c r="S19" s="7">
        <f>SUM(S20:S21)</f>
        <v/>
      </c>
    </row>
    <row r="20">
      <c r="A20" s="8" t="inlineStr">
        <is>
          <t>3.1.1</t>
        </is>
      </c>
      <c r="B20" s="8" t="n"/>
      <c r="C20" s="8" t="n"/>
      <c r="D20" s="8" t="inlineStr">
        <is>
          <t>Change Management Plan</t>
        </is>
      </c>
      <c r="E20" s="9" t="n">
        <v>16</v>
      </c>
      <c r="F20" s="9" t="n">
        <v>24</v>
      </c>
      <c r="G20" s="9" t="n">
        <v>40</v>
      </c>
      <c r="H20" s="10">
        <f>(E20+4*F20+G20)/6</f>
        <v/>
      </c>
      <c r="I20" s="9" t="n">
        <v>1</v>
      </c>
      <c r="J20" s="9" t="n">
        <v>2</v>
      </c>
      <c r="K20" s="9" t="n">
        <v>3</v>
      </c>
      <c r="L20" s="10">
        <f>(I20+4*J20+K20)/6</f>
        <v/>
      </c>
      <c r="M20" s="10">
        <f>(K20-I20)/6</f>
        <v/>
      </c>
      <c r="N20" s="8" t="inlineStr">
        <is>
          <t>SC, JC</t>
        </is>
      </c>
      <c r="O20" s="8" t="inlineStr">
        <is>
          <t>2.2.2</t>
        </is>
      </c>
      <c r="P20" s="8" t="inlineStr">
        <is>
          <t>R2</t>
        </is>
      </c>
      <c r="Q20" s="8" t="inlineStr">
        <is>
          <t>Communications plan, training needs analysis, resistance management</t>
        </is>
      </c>
      <c r="R20" s="8" t="inlineStr">
        <is>
          <t>Y</t>
        </is>
      </c>
      <c r="S20" s="10">
        <f>IF(R20="Y",H20,0)</f>
        <v/>
      </c>
    </row>
    <row r="21">
      <c r="A21" s="8" t="inlineStr">
        <is>
          <t>3.1.2</t>
        </is>
      </c>
      <c r="B21" s="8" t="n"/>
      <c r="C21" s="8" t="n"/>
      <c r="D21" s="8" t="inlineStr">
        <is>
          <t>Leadership Coaching Sessions</t>
        </is>
      </c>
      <c r="E21" s="9" t="n">
        <v>12</v>
      </c>
      <c r="F21" s="9" t="n">
        <v>16</v>
      </c>
      <c r="G21" s="9" t="n">
        <v>24</v>
      </c>
      <c r="H21" s="10">
        <f>(E21+4*F21+G21)/6</f>
        <v/>
      </c>
      <c r="I21" s="9" t="n">
        <v>2</v>
      </c>
      <c r="J21" s="9" t="n">
        <v>3</v>
      </c>
      <c r="K21" s="9" t="n">
        <v>5</v>
      </c>
      <c r="L21" s="10">
        <f>(I21+4*J21+K21)/6</f>
        <v/>
      </c>
      <c r="M21" s="10">
        <f>(K21-I21)/6</f>
        <v/>
      </c>
      <c r="N21" s="8" t="inlineStr">
        <is>
          <t>PRT</t>
        </is>
      </c>
      <c r="O21" s="8" t="inlineStr">
        <is>
          <t>3.1.1</t>
        </is>
      </c>
      <c r="P21" s="8" t="inlineStr">
        <is>
          <t>R1</t>
        </is>
      </c>
      <c r="Q21" s="8" t="inlineStr">
        <is>
          <t>6 sessions × 2 h with senior leaders</t>
        </is>
      </c>
      <c r="R21" s="8" t="inlineStr">
        <is>
          <t>Y</t>
        </is>
      </c>
      <c r="S21" s="10">
        <f>IF(R21="Y",H21,0)</f>
        <v/>
      </c>
    </row>
    <row r="22">
      <c r="A22" s="5" t="inlineStr">
        <is>
          <t>3.2</t>
        </is>
      </c>
      <c r="B22" s="5" t="n"/>
      <c r="C22" s="5" t="inlineStr">
        <is>
          <t>Process Re-engineering</t>
        </is>
      </c>
      <c r="D22" s="5" t="n"/>
      <c r="E22" s="6">
        <f>SUM(E23:E24)</f>
        <v/>
      </c>
      <c r="F22" s="6">
        <f>SUM(F23:F24)</f>
        <v/>
      </c>
      <c r="G22" s="6">
        <f>SUM(G23:G24)</f>
        <v/>
      </c>
      <c r="H22" s="7">
        <f>(E22+4*F22+G22)/6</f>
        <v/>
      </c>
      <c r="I22" s="6">
        <f>SUM(I23:I24)</f>
        <v/>
      </c>
      <c r="J22" s="6">
        <f>SUM(J23:J24)</f>
        <v/>
      </c>
      <c r="K22" s="6">
        <f>SUM(K23:K24)</f>
        <v/>
      </c>
      <c r="L22" s="7">
        <f>(I22+4*J22+K22)/6</f>
        <v/>
      </c>
      <c r="M22" s="7">
        <f>(K22-I22)/6</f>
        <v/>
      </c>
      <c r="N22" s="5" t="n"/>
      <c r="O22" s="5" t="n"/>
      <c r="P22" s="5" t="n"/>
      <c r="Q22" s="5" t="n"/>
      <c r="R22" s="5" t="n"/>
      <c r="S22" s="7">
        <f>SUM(S23:S24)</f>
        <v/>
      </c>
    </row>
    <row r="23">
      <c r="A23" s="8" t="inlineStr">
        <is>
          <t>3.2.1</t>
        </is>
      </c>
      <c r="B23" s="8" t="n"/>
      <c r="C23" s="8" t="n"/>
      <c r="D23" s="8" t="inlineStr">
        <is>
          <t>Priority Process Redesign</t>
        </is>
      </c>
      <c r="E23" s="9" t="n">
        <v>32</v>
      </c>
      <c r="F23" s="9" t="n">
        <v>40</v>
      </c>
      <c r="G23" s="9" t="n">
        <v>64</v>
      </c>
      <c r="H23" s="10">
        <f>(E23+4*F23+G23)/6</f>
        <v/>
      </c>
      <c r="I23" s="9" t="n">
        <v>2</v>
      </c>
      <c r="J23" s="9" t="n">
        <v>3</v>
      </c>
      <c r="K23" s="9" t="n">
        <v>5</v>
      </c>
      <c r="L23" s="10">
        <f>(I23+4*J23+K23)/6</f>
        <v/>
      </c>
      <c r="M23" s="10">
        <f>(K23-I23)/6</f>
        <v/>
      </c>
      <c r="N23" s="8" t="inlineStr">
        <is>
          <t>SC, JC</t>
        </is>
      </c>
      <c r="O23" s="8" t="inlineStr">
        <is>
          <t>2.2.2</t>
        </is>
      </c>
      <c r="P23" s="8" t="inlineStr">
        <is>
          <t>R3, R5</t>
        </is>
      </c>
      <c r="Q23" s="8" t="inlineStr">
        <is>
          <t>Redesign 3 end-to-end cross-entity processes</t>
        </is>
      </c>
      <c r="R23" s="8" t="inlineStr">
        <is>
          <t>Y</t>
        </is>
      </c>
      <c r="S23" s="10">
        <f>IF(R23="Y",H23,0)</f>
        <v/>
      </c>
    </row>
    <row r="24">
      <c r="A24" s="8" t="inlineStr">
        <is>
          <t>3.2.2</t>
        </is>
      </c>
      <c r="B24" s="8" t="n"/>
      <c r="C24" s="8" t="n"/>
      <c r="D24" s="8" t="inlineStr">
        <is>
          <t>Interim Performance Dashboard</t>
        </is>
      </c>
      <c r="E24" s="9" t="n">
        <v>16</v>
      </c>
      <c r="F24" s="9" t="n">
        <v>24</v>
      </c>
      <c r="G24" s="9" t="n">
        <v>40</v>
      </c>
      <c r="H24" s="10">
        <f>(E24+4*F24+G24)/6</f>
        <v/>
      </c>
      <c r="I24" s="9" t="n">
        <v>1</v>
      </c>
      <c r="J24" s="9" t="n">
        <v>2</v>
      </c>
      <c r="K24" s="9" t="n">
        <v>3</v>
      </c>
      <c r="L24" s="10">
        <f>(I24+4*J24+K24)/6</f>
        <v/>
      </c>
      <c r="M24" s="10">
        <f>(K24-I24)/6</f>
        <v/>
      </c>
      <c r="N24" s="8" t="inlineStr">
        <is>
          <t>SC, JC</t>
        </is>
      </c>
      <c r="O24" s="8" t="inlineStr">
        <is>
          <t>3.2.1</t>
        </is>
      </c>
      <c r="P24" s="8" t="inlineStr"/>
      <c r="Q24" s="8" t="inlineStr">
        <is>
          <t>Define and prototype management KPI dashboard</t>
        </is>
      </c>
      <c r="R24" s="8" t="inlineStr">
        <is>
          <t>Y</t>
        </is>
      </c>
      <c r="S24" s="10">
        <f>IF(R24="Y",H24,0)</f>
        <v/>
      </c>
    </row>
    <row r="25">
      <c r="A25" s="2" t="inlineStr">
        <is>
          <t>4</t>
        </is>
      </c>
      <c r="B25" s="2" t="inlineStr">
        <is>
          <t>Knowledge Transfer</t>
        </is>
      </c>
      <c r="C25" s="2" t="n"/>
      <c r="D25" s="2" t="n"/>
      <c r="E25" s="3">
        <f>SUM(E27,E28,E29)</f>
        <v/>
      </c>
      <c r="F25" s="3">
        <f>SUM(F27,F28,F29)</f>
        <v/>
      </c>
      <c r="G25" s="3">
        <f>SUM(G27,G28,G29)</f>
        <v/>
      </c>
      <c r="H25" s="4">
        <f>(E25+4*F25+G25)/6</f>
        <v/>
      </c>
      <c r="I25" s="3">
        <f>SUM(I27,I28,I29)</f>
        <v/>
      </c>
      <c r="J25" s="3">
        <f>SUM(J27,J28,J29)</f>
        <v/>
      </c>
      <c r="K25" s="3">
        <f>SUM(K27,K28,K29)</f>
        <v/>
      </c>
      <c r="L25" s="4">
        <f>(I25+4*J25+K25)/6</f>
        <v/>
      </c>
      <c r="M25" s="4">
        <f>(K25-I25)/6</f>
        <v/>
      </c>
      <c r="N25" s="2" t="n"/>
      <c r="O25" s="2" t="n"/>
      <c r="P25" s="2" t="n"/>
      <c r="Q25" s="2" t="n"/>
      <c r="R25" s="2" t="n"/>
      <c r="S25" s="4">
        <f>SUM(S27,S28,S29)</f>
        <v/>
      </c>
    </row>
    <row r="26">
      <c r="A26" s="5" t="inlineStr">
        <is>
          <t>4.1</t>
        </is>
      </c>
      <c r="B26" s="5" t="n"/>
      <c r="C26" s="5" t="inlineStr">
        <is>
          <t>Capability Building</t>
        </is>
      </c>
      <c r="D26" s="5" t="n"/>
      <c r="E26" s="6">
        <f>SUM(E27:E29)</f>
        <v/>
      </c>
      <c r="F26" s="6">
        <f>SUM(F27:F29)</f>
        <v/>
      </c>
      <c r="G26" s="6">
        <f>SUM(G27:G29)</f>
        <v/>
      </c>
      <c r="H26" s="7">
        <f>(E26+4*F26+G26)/6</f>
        <v/>
      </c>
      <c r="I26" s="6">
        <f>SUM(I27:I29)</f>
        <v/>
      </c>
      <c r="J26" s="6">
        <f>SUM(J27:J29)</f>
        <v/>
      </c>
      <c r="K26" s="6">
        <f>SUM(K27:K29)</f>
        <v/>
      </c>
      <c r="L26" s="7">
        <f>(I26+4*J26+K26)/6</f>
        <v/>
      </c>
      <c r="M26" s="7">
        <f>(K26-I26)/6</f>
        <v/>
      </c>
      <c r="N26" s="5" t="n"/>
      <c r="O26" s="5" t="n"/>
      <c r="P26" s="5" t="n"/>
      <c r="Q26" s="5" t="n"/>
      <c r="R26" s="5" t="n"/>
      <c r="S26" s="7">
        <f>SUM(S27:S29)</f>
        <v/>
      </c>
    </row>
    <row r="27">
      <c r="A27" s="8" t="inlineStr">
        <is>
          <t>4.1.1</t>
        </is>
      </c>
      <c r="B27" s="8" t="n"/>
      <c r="C27" s="8" t="n"/>
      <c r="D27" s="8" t="inlineStr">
        <is>
          <t>Playbook &amp; Toolkit Delivery</t>
        </is>
      </c>
      <c r="E27" s="9" t="n">
        <v>16</v>
      </c>
      <c r="F27" s="9" t="n">
        <v>24</v>
      </c>
      <c r="G27" s="9" t="n">
        <v>40</v>
      </c>
      <c r="H27" s="10">
        <f>(E27+4*F27+G27)/6</f>
        <v/>
      </c>
      <c r="I27" s="9" t="n">
        <v>1</v>
      </c>
      <c r="J27" s="9" t="n">
        <v>2</v>
      </c>
      <c r="K27" s="9" t="n">
        <v>3</v>
      </c>
      <c r="L27" s="10">
        <f>(I27+4*J27+K27)/6</f>
        <v/>
      </c>
      <c r="M27" s="10">
        <f>(K27-I27)/6</f>
        <v/>
      </c>
      <c r="N27" s="8" t="inlineStr">
        <is>
          <t>SC, JC</t>
        </is>
      </c>
      <c r="O27" s="8" t="inlineStr">
        <is>
          <t>3.2.2</t>
        </is>
      </c>
      <c r="P27" s="8" t="inlineStr"/>
      <c r="Q27" s="8" t="inlineStr">
        <is>
          <t>Operating model playbook and toolkits for internal use</t>
        </is>
      </c>
      <c r="R27" s="8" t="inlineStr">
        <is>
          <t>Y</t>
        </is>
      </c>
      <c r="S27" s="10">
        <f>IF(R27="Y",H27,0)</f>
        <v/>
      </c>
    </row>
    <row r="28">
      <c r="A28" s="8" t="inlineStr">
        <is>
          <t>4.1.2</t>
        </is>
      </c>
      <c r="B28" s="8" t="n"/>
      <c r="C28" s="8" t="n"/>
      <c r="D28" s="8" t="inlineStr">
        <is>
          <t>Train-the-Trainer Workshop</t>
        </is>
      </c>
      <c r="E28" s="9" t="n">
        <v>12</v>
      </c>
      <c r="F28" s="9" t="n">
        <v>16</v>
      </c>
      <c r="G28" s="9" t="n">
        <v>24</v>
      </c>
      <c r="H28" s="10">
        <f>(E28+4*F28+G28)/6</f>
        <v/>
      </c>
      <c r="I28" s="9" t="n">
        <v>1</v>
      </c>
      <c r="J28" s="9" t="n">
        <v>1</v>
      </c>
      <c r="K28" s="9" t="n">
        <v>2</v>
      </c>
      <c r="L28" s="10">
        <f>(I28+4*J28+K28)/6</f>
        <v/>
      </c>
      <c r="M28" s="10">
        <f>(K28-I28)/6</f>
        <v/>
      </c>
      <c r="N28" s="8" t="inlineStr">
        <is>
          <t>PRT, SC</t>
        </is>
      </c>
      <c r="O28" s="8" t="inlineStr">
        <is>
          <t>4.1.1</t>
        </is>
      </c>
      <c r="P28" s="8" t="inlineStr"/>
      <c r="Q28" s="8" t="inlineStr">
        <is>
          <t>2-day internal facilitator training programme</t>
        </is>
      </c>
      <c r="R28" s="8" t="inlineStr">
        <is>
          <t>Y</t>
        </is>
      </c>
      <c r="S28" s="10">
        <f>IF(R28="Y",H28,0)</f>
        <v/>
      </c>
    </row>
    <row r="29">
      <c r="A29" s="8" t="inlineStr">
        <is>
          <t>4.1.3</t>
        </is>
      </c>
      <c r="B29" s="8" t="n"/>
      <c r="C29" s="8" t="n"/>
      <c r="D29" s="8" t="inlineStr">
        <is>
          <t>Final Review &amp; Sign-off Meeting</t>
        </is>
      </c>
      <c r="E29" s="9" t="n">
        <v>6</v>
      </c>
      <c r="F29" s="9" t="n">
        <v>8</v>
      </c>
      <c r="G29" s="9" t="n">
        <v>12</v>
      </c>
      <c r="H29" s="10">
        <f>(E29+4*F29+G29)/6</f>
        <v/>
      </c>
      <c r="I29" s="9" t="n">
        <v>1</v>
      </c>
      <c r="J29" s="9" t="n">
        <v>1</v>
      </c>
      <c r="K29" s="9" t="n">
        <v>1</v>
      </c>
      <c r="L29" s="10">
        <f>(I29+4*J29+K29)/6</f>
        <v/>
      </c>
      <c r="M29" s="10">
        <f>(K29-I29)/6</f>
        <v/>
      </c>
      <c r="N29" s="8" t="inlineStr">
        <is>
          <t>PRT, SC</t>
        </is>
      </c>
      <c r="O29" s="8" t="inlineStr">
        <is>
          <t>4.1.2</t>
        </is>
      </c>
      <c r="P29" s="8" t="inlineStr">
        <is>
          <t>R1</t>
        </is>
      </c>
      <c r="Q29" s="8" t="inlineStr">
        <is>
          <t>Present final deliverables, capture lessons learned</t>
        </is>
      </c>
      <c r="R29" s="8" t="inlineStr">
        <is>
          <t>Y</t>
        </is>
      </c>
      <c r="S29" s="10">
        <f>IF(R29="Y",H29,0)</f>
        <v/>
      </c>
    </row>
    <row r="30">
      <c r="A30" s="11" t="inlineStr">
        <is>
          <t>TOTAL</t>
        </is>
      </c>
      <c r="B30" s="11" t="n"/>
      <c r="C30" s="11" t="n"/>
      <c r="D30" s="11" t="n"/>
      <c r="E30" s="12">
        <f>SUM(E2,E10,E18,E25)</f>
        <v/>
      </c>
      <c r="F30" s="12">
        <f>SUM(F2,F10,F18,F25)</f>
        <v/>
      </c>
      <c r="G30" s="12">
        <f>SUM(G2,G10,G18,G25)</f>
        <v/>
      </c>
      <c r="H30" s="13">
        <f>SUM(H2,H10,H18,H25)</f>
        <v/>
      </c>
      <c r="I30" s="12">
        <f>SUM(I2,I10,I18,I25)</f>
        <v/>
      </c>
      <c r="J30" s="12">
        <f>SUM(J2,J10,J18,J25)</f>
        <v/>
      </c>
      <c r="K30" s="12">
        <f>SUM(K2,K10,K18,K25)</f>
        <v/>
      </c>
      <c r="L30" s="13">
        <f>SUM(L2,L10,L18,L25)</f>
        <v/>
      </c>
      <c r="M30" s="13">
        <f>SUM(M2,M10,M18,M25)</f>
        <v/>
      </c>
      <c r="N30" s="11" t="n"/>
      <c r="O30" s="11" t="n"/>
      <c r="P30" s="11" t="n"/>
      <c r="Q30" s="11" t="n"/>
      <c r="R30" s="11" t="n"/>
      <c r="S30" s="13">
        <f>SUM(S2,S10,S18,S25)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Role</t>
        </is>
      </c>
      <c r="B1" s="1" t="inlineStr">
        <is>
          <t>Code</t>
        </is>
      </c>
      <c r="C1" s="1" t="inlineStr">
        <is>
          <t>Type</t>
        </is>
      </c>
      <c r="D1" s="14" t="inlineStr">
        <is>
          <t>W1</t>
        </is>
      </c>
      <c r="E1" s="14" t="inlineStr">
        <is>
          <t>W2</t>
        </is>
      </c>
      <c r="F1" s="14" t="inlineStr">
        <is>
          <t>W3</t>
        </is>
      </c>
      <c r="G1" s="14" t="inlineStr">
        <is>
          <t>W4</t>
        </is>
      </c>
      <c r="H1" s="14" t="inlineStr">
        <is>
          <t>W5</t>
        </is>
      </c>
      <c r="I1" s="14" t="inlineStr">
        <is>
          <t>W6</t>
        </is>
      </c>
      <c r="J1" s="1" t="inlineStr">
        <is>
          <t>TOTAL (PD)</t>
        </is>
      </c>
    </row>
    <row r="2">
      <c r="C2" s="15" t="inlineStr">
        <is>
          <t>Week of</t>
        </is>
      </c>
      <c r="D2" s="15" t="inlineStr">
        <is>
          <t>2026-10-01</t>
        </is>
      </c>
      <c r="E2" s="15" t="inlineStr">
        <is>
          <t>2026-10-08</t>
        </is>
      </c>
      <c r="F2" s="15" t="inlineStr">
        <is>
          <t>2026-10-15</t>
        </is>
      </c>
      <c r="G2" s="15" t="inlineStr">
        <is>
          <t>2026-10-22</t>
        </is>
      </c>
      <c r="H2" s="15" t="inlineStr">
        <is>
          <t>2026-10-29</t>
        </is>
      </c>
      <c r="I2" s="15" t="inlineStr">
        <is>
          <t>2026-11-05</t>
        </is>
      </c>
    </row>
    <row r="3">
      <c r="A3" t="inlineStr">
        <is>
          <t>Partner</t>
        </is>
      </c>
      <c r="B3" t="inlineStr">
        <is>
          <t>PRT</t>
        </is>
      </c>
      <c r="C3" t="inlineStr">
        <is>
          <t>billable</t>
        </is>
      </c>
      <c r="D3" s="16" t="n">
        <v>58</v>
      </c>
      <c r="E3" s="16" t="n">
        <v>33.33</v>
      </c>
      <c r="F3" s="16" t="n">
        <v>33.33</v>
      </c>
      <c r="G3" s="16" t="n">
        <v>8.33</v>
      </c>
      <c r="H3" s="16" t="n">
        <v>8.33</v>
      </c>
      <c r="I3" s="16" t="n">
        <v>25</v>
      </c>
      <c r="J3" s="17">
        <f>SUM(D3:I3)</f>
        <v/>
      </c>
    </row>
    <row r="4">
      <c r="A4" t="inlineStr">
        <is>
          <t>Senior Consultant</t>
        </is>
      </c>
      <c r="B4" t="inlineStr">
        <is>
          <t>SC</t>
        </is>
      </c>
      <c r="C4" t="inlineStr">
        <is>
          <t>billable</t>
        </is>
      </c>
      <c r="D4" s="16" t="n">
        <v>67.33</v>
      </c>
      <c r="E4" s="16" t="n">
        <v>46.67</v>
      </c>
      <c r="F4" s="16" t="n">
        <v>46.67</v>
      </c>
      <c r="G4" s="16" t="n">
        <v>46.67</v>
      </c>
      <c r="H4" s="16" t="n">
        <v>46.67</v>
      </c>
      <c r="I4" s="16" t="n">
        <v>25.33</v>
      </c>
      <c r="J4" s="17">
        <f>SUM(D4:I4)</f>
        <v/>
      </c>
    </row>
    <row r="5">
      <c r="A5" s="11" t="inlineStr">
        <is>
          <t>Weekly TOTAL</t>
        </is>
      </c>
      <c r="D5" s="12">
        <f>SUM(D3:D4)</f>
        <v/>
      </c>
      <c r="E5" s="12">
        <f>SUM(E3:E4)</f>
        <v/>
      </c>
      <c r="F5" s="12">
        <f>SUM(F3:F4)</f>
        <v/>
      </c>
      <c r="G5" s="12">
        <f>SUM(G3:G4)</f>
        <v/>
      </c>
      <c r="H5" s="12">
        <f>SUM(H3:H4)</f>
        <v/>
      </c>
      <c r="I5" s="12">
        <f>SUM(I3:I4)</f>
        <v/>
      </c>
      <c r="J5" s="12">
        <f>SUM(D5:I5)</f>
        <v/>
      </c>
    </row>
    <row r="7">
      <c r="A7" s="18" t="inlineStr">
        <is>
          <t>Capacity Warnings</t>
        </is>
      </c>
    </row>
    <row r="8">
      <c r="A8" t="inlineStr">
        <is>
          <t>Overcommit: W1 (PRT) (58.0 PD vs 5.0 PD capacity)</t>
        </is>
      </c>
    </row>
    <row r="9">
      <c r="A9" t="inlineStr">
        <is>
          <t>Overcommit: W2 (PRT) (33.3 PD vs 5.0 PD capacity)</t>
        </is>
      </c>
    </row>
    <row r="10">
      <c r="A10" t="inlineStr">
        <is>
          <t>Overcommit: W3 (PRT) (33.3 PD vs 5.0 PD capacity)</t>
        </is>
      </c>
    </row>
    <row r="11">
      <c r="A11" t="inlineStr">
        <is>
          <t>Overcommit: W4 (PRT) (8.3 PD vs 5.0 PD capacity)</t>
        </is>
      </c>
    </row>
    <row r="12">
      <c r="A12" t="inlineStr">
        <is>
          <t>Overcommit: W5 (PRT) (8.3 PD vs 5.0 PD capacity)</t>
        </is>
      </c>
    </row>
    <row r="13">
      <c r="A13" t="inlineStr">
        <is>
          <t>Overcommit: W6 (PRT) (25.0 PD vs 5.0 PD capacity)</t>
        </is>
      </c>
    </row>
    <row r="14">
      <c r="A14" t="inlineStr">
        <is>
          <t>Overcommit: W1 (SC) (67.3 PD vs 5.0 PD capacity)</t>
        </is>
      </c>
    </row>
    <row r="15">
      <c r="A15" t="inlineStr">
        <is>
          <t>Overcommit: W2 (SC) (46.7 PD vs 5.0 PD capacity)</t>
        </is>
      </c>
    </row>
    <row r="16">
      <c r="A16" t="inlineStr">
        <is>
          <t>Overcommit: W3 (SC) (46.7 PD vs 5.0 PD capacity)</t>
        </is>
      </c>
    </row>
    <row r="17">
      <c r="A17" t="inlineStr">
        <is>
          <t>Overcommit: W4 (SC) (46.7 PD vs 5.0 PD capacity)</t>
        </is>
      </c>
    </row>
    <row r="18">
      <c r="A18" t="inlineStr">
        <is>
          <t>Overcommit: W5 (SC) (46.7 PD vs 5.0 PD capacity)</t>
        </is>
      </c>
    </row>
    <row r="19">
      <c r="A19" t="inlineStr">
        <is>
          <t>Overcommit: W6 (SC) (25.3 PD vs 5.0 PD capacity)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5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Affected Phases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Priority</t>
        </is>
      </c>
      <c r="I1" s="1" t="inlineStr">
        <is>
          <t>Strategy</t>
        </is>
      </c>
      <c r="J1" s="1" t="inlineStr">
        <is>
          <t>Mitigation Action</t>
        </is>
      </c>
      <c r="K1" s="1" t="inlineStr">
        <is>
          <t>Owner</t>
        </is>
      </c>
      <c r="L1" s="1" t="inlineStr">
        <is>
          <t>Contingency (hours)</t>
        </is>
      </c>
      <c r="M1" s="1" t="inlineStr">
        <is>
          <t>Contingency Cost</t>
        </is>
      </c>
    </row>
    <row r="2">
      <c r="A2" s="19" t="inlineStr">
        <is>
          <t>R1</t>
        </is>
      </c>
      <c r="B2" s="19" t="inlineStr">
        <is>
          <t>Key client sponsor changes mid-engagement, disrupting strategic alignment</t>
        </is>
      </c>
      <c r="C2" s="19" t="inlineStr">
        <is>
          <t>Organisational</t>
        </is>
      </c>
      <c r="D2" s="19" t="inlineStr">
        <is>
          <t>1, 2, 3, 4</t>
        </is>
      </c>
      <c r="E2" s="19" t="n">
        <v>3</v>
      </c>
      <c r="F2" s="19" t="n">
        <v>5</v>
      </c>
      <c r="G2" s="19">
        <f>E2*F2</f>
        <v/>
      </c>
      <c r="H2" s="19">
        <f>IF(G2&gt;=15,"CRITICAL",IF(G2&gt;=10,"HIGH",IF(G2&gt;=5,"MEDIUM","LOW")))</f>
        <v/>
      </c>
      <c r="I2" s="19" t="inlineStr">
        <is>
          <t>Mitigate</t>
        </is>
      </c>
      <c r="J2" s="19" t="inlineStr">
        <is>
          <t>Establish multi-stakeholder governance; ensure project charter is signed at board level</t>
        </is>
      </c>
      <c r="K2" s="19" t="inlineStr">
        <is>
          <t>PRT</t>
        </is>
      </c>
      <c r="L2" s="19" t="n">
        <v>40</v>
      </c>
      <c r="M2" s="19">
        <f>L2*250</f>
        <v/>
      </c>
    </row>
    <row r="3">
      <c r="A3" s="19" t="inlineStr">
        <is>
          <t>R2</t>
        </is>
      </c>
      <c r="B3" s="19" t="inlineStr">
        <is>
          <t>Resistance from legacy-org middle management delays workshop outcomes</t>
        </is>
      </c>
      <c r="C3" s="19" t="inlineStr">
        <is>
          <t>Change</t>
        </is>
      </c>
      <c r="D3" s="19" t="inlineStr">
        <is>
          <t>1, 2</t>
        </is>
      </c>
      <c r="E3" s="19" t="n">
        <v>4</v>
      </c>
      <c r="F3" s="19" t="n">
        <v>4</v>
      </c>
      <c r="G3" s="19">
        <f>E3*F3</f>
        <v/>
      </c>
      <c r="H3" s="19">
        <f>IF(G3&gt;=15,"CRITICAL",IF(G3&gt;=10,"HIGH",IF(G3&gt;=5,"MEDIUM","LOW")))</f>
        <v/>
      </c>
      <c r="I3" s="19" t="inlineStr">
        <is>
          <t>Mitigate</t>
        </is>
      </c>
      <c r="J3" s="19" t="inlineStr">
        <is>
          <t>Early engagement sessions with middle management; dedicated change champion network</t>
        </is>
      </c>
      <c r="K3" s="19" t="inlineStr">
        <is>
          <t>SC</t>
        </is>
      </c>
      <c r="L3" s="19" t="n">
        <v>32</v>
      </c>
      <c r="M3" s="19">
        <f>L3*250</f>
        <v/>
      </c>
    </row>
    <row r="4">
      <c r="A4" s="19" t="inlineStr">
        <is>
          <t>R3</t>
        </is>
      </c>
      <c r="B4" s="19" t="inlineStr">
        <is>
          <t>Scope creep from additional integration requests not in original SoW</t>
        </is>
      </c>
      <c r="C4" s="19" t="inlineStr">
        <is>
          <t>Commercial</t>
        </is>
      </c>
      <c r="D4" s="19" t="inlineStr">
        <is>
          <t>2, 3</t>
        </is>
      </c>
      <c r="E4" s="19" t="n">
        <v>4</v>
      </c>
      <c r="F4" s="19" t="n">
        <v>3</v>
      </c>
      <c r="G4" s="19">
        <f>E4*F4</f>
        <v/>
      </c>
      <c r="H4" s="19">
        <f>IF(G4&gt;=15,"CRITICAL",IF(G4&gt;=10,"HIGH",IF(G4&gt;=5,"MEDIUM","LOW")))</f>
        <v/>
      </c>
      <c r="I4" s="19" t="inlineStr">
        <is>
          <t>Mitigate</t>
        </is>
      </c>
      <c r="J4" s="19" t="inlineStr">
        <is>
          <t>Strict change control process; weekly scope review with project sponsor</t>
        </is>
      </c>
      <c r="K4" s="19" t="inlineStr">
        <is>
          <t>PRT</t>
        </is>
      </c>
      <c r="L4" s="19" t="n">
        <v>24</v>
      </c>
      <c r="M4" s="19">
        <f>L4*250</f>
        <v/>
      </c>
    </row>
    <row r="5">
      <c r="A5" t="inlineStr">
        <is>
          <t>R4</t>
        </is>
      </c>
      <c r="B5" t="inlineStr">
        <is>
          <t>Confidential data access restrictions slow diagnostic phase</t>
        </is>
      </c>
      <c r="C5" t="inlineStr">
        <is>
          <t>Regulatory</t>
        </is>
      </c>
      <c r="D5" t="inlineStr">
        <is>
          <t>1</t>
        </is>
      </c>
      <c r="E5" t="n">
        <v>3</v>
      </c>
      <c r="F5" t="n">
        <v>3</v>
      </c>
      <c r="G5">
        <f>E5*F5</f>
        <v/>
      </c>
      <c r="H5">
        <f>IF(G5&gt;=15,"CRITICAL",IF(G5&gt;=10,"HIGH",IF(G5&gt;=5,"MEDIUM","LOW")))</f>
        <v/>
      </c>
      <c r="I5" t="inlineStr">
        <is>
          <t>Accept</t>
        </is>
      </c>
      <c r="J5" t="inlineStr">
        <is>
          <t>Obtain NDA and data sharing agreements upfront; plan for desk-based alternatives</t>
        </is>
      </c>
      <c r="K5" t="inlineStr">
        <is>
          <t>SC</t>
        </is>
      </c>
      <c r="L5" t="n">
        <v>16</v>
      </c>
      <c r="M5">
        <f>L5*250</f>
        <v/>
      </c>
    </row>
    <row r="6">
      <c r="A6" t="inlineStr">
        <is>
          <t>R5</t>
        </is>
      </c>
      <c r="B6" t="inlineStr">
        <is>
          <t>Key consultant unavailable during critical design workshops</t>
        </is>
      </c>
      <c r="C6" t="inlineStr">
        <is>
          <t>Resource</t>
        </is>
      </c>
      <c r="D6" t="inlineStr">
        <is>
          <t>2, 3</t>
        </is>
      </c>
      <c r="E6" t="n">
        <v>2</v>
      </c>
      <c r="F6" t="n">
        <v>4</v>
      </c>
      <c r="G6">
        <f>E6*F6</f>
        <v/>
      </c>
      <c r="H6">
        <f>IF(G6&gt;=15,"CRITICAL",IF(G6&gt;=10,"HIGH",IF(G6&gt;=5,"MEDIUM","LOW")))</f>
        <v/>
      </c>
      <c r="I6" t="inlineStr">
        <is>
          <t>Mitigate</t>
        </is>
      </c>
      <c r="J6" t="inlineStr">
        <is>
          <t>Maintain backup consultant briefed on engagement context; shadow shadowing programme</t>
        </is>
      </c>
      <c r="K6" t="inlineStr">
        <is>
          <t>PRT</t>
        </is>
      </c>
      <c r="L6" t="n">
        <v>24</v>
      </c>
      <c r="M6">
        <f>L6*250</f>
        <v/>
      </c>
    </row>
    <row r="8">
      <c r="A8" s="11" t="inlineStr">
        <is>
          <t>TOTAL</t>
        </is>
      </c>
      <c r="L8" s="11">
        <f>SUM(L2:L6)</f>
        <v/>
      </c>
      <c r="M8" s="11">
        <f>SUM(M2:M6)</f>
        <v/>
      </c>
    </row>
    <row r="9">
      <c r="A9" t="inlineStr">
        <is>
          <t>Management Reserve</t>
        </is>
      </c>
      <c r="L9">
        <f>(WBS!H30*(1+0.1+0.05)+L8)*0.1</f>
        <v/>
      </c>
      <c r="M9">
        <f>(WBS!H30*(1+0.1+0.05)+L8)*0.1*250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Best Effort (hours)</t>
        </is>
      </c>
      <c r="D1" s="1" t="inlineStr">
        <is>
          <t>Likely Effort (hours)</t>
        </is>
      </c>
      <c r="E1" s="1" t="inlineStr">
        <is>
          <t>Worst Effort (hours)</t>
        </is>
      </c>
      <c r="F1" s="1" t="inlineStr">
        <is>
          <t>PERT Effort (hours)</t>
        </is>
      </c>
      <c r="G1" s="1" t="inlineStr">
        <is>
          <t>Best Duration (weeks)</t>
        </is>
      </c>
      <c r="H1" s="1" t="inlineStr">
        <is>
          <t>Likely Duration (weeks)</t>
        </is>
      </c>
      <c r="I1" s="1" t="inlineStr">
        <is>
          <t>Worst Duration (weeks)</t>
        </is>
      </c>
      <c r="J1" s="1" t="inlineStr">
        <is>
          <t>PERT Duration (weeks)</t>
        </is>
      </c>
      <c r="K1" s="1" t="inlineStr">
        <is>
          <t>σ Duration</t>
        </is>
      </c>
    </row>
    <row r="2">
      <c r="A2" s="2">
        <f>WBS!B2</f>
        <v/>
      </c>
      <c r="B2" s="2" t="inlineStr">
        <is>
          <t>Assess current state of the three legacy organisations and identify gaps</t>
        </is>
      </c>
      <c r="C2" s="4">
        <f>WBS!E2</f>
        <v/>
      </c>
      <c r="D2" s="4">
        <f>WBS!F2</f>
        <v/>
      </c>
      <c r="E2" s="4">
        <f>WBS!G2</f>
        <v/>
      </c>
      <c r="F2" s="4">
        <f>WBS!H2</f>
        <v/>
      </c>
      <c r="G2" s="4">
        <f>WBS!I2</f>
        <v/>
      </c>
      <c r="H2" s="4">
        <f>WBS!J2</f>
        <v/>
      </c>
      <c r="I2" s="4">
        <f>WBS!K2</f>
        <v/>
      </c>
      <c r="J2" s="4">
        <f>WBS!L2</f>
        <v/>
      </c>
      <c r="K2" s="4">
        <f>WBS!M2</f>
        <v/>
      </c>
    </row>
    <row r="3">
      <c r="A3" s="2">
        <f>WBS!B10</f>
        <v/>
      </c>
      <c r="B3" s="2" t="inlineStr">
        <is>
          <t>Co-design the future operating model with senior leadership</t>
        </is>
      </c>
      <c r="C3" s="4">
        <f>WBS!E10</f>
        <v/>
      </c>
      <c r="D3" s="4">
        <f>WBS!F10</f>
        <v/>
      </c>
      <c r="E3" s="4">
        <f>WBS!G10</f>
        <v/>
      </c>
      <c r="F3" s="4">
        <f>WBS!H10</f>
        <v/>
      </c>
      <c r="G3" s="4">
        <f>WBS!I10</f>
        <v/>
      </c>
      <c r="H3" s="4">
        <f>WBS!J10</f>
        <v/>
      </c>
      <c r="I3" s="4">
        <f>WBS!K10</f>
        <v/>
      </c>
      <c r="J3" s="4">
        <f>WBS!L10</f>
        <v/>
      </c>
      <c r="K3" s="4">
        <f>WBS!M10</f>
        <v/>
      </c>
    </row>
    <row r="4">
      <c r="A4" s="2">
        <f>WBS!B18</f>
        <v/>
      </c>
      <c r="B4" s="2" t="inlineStr">
        <is>
          <t>Hands-on advisory support during first wave of transformation</t>
        </is>
      </c>
      <c r="C4" s="4">
        <f>WBS!E18</f>
        <v/>
      </c>
      <c r="D4" s="4">
        <f>WBS!F18</f>
        <v/>
      </c>
      <c r="E4" s="4">
        <f>WBS!G18</f>
        <v/>
      </c>
      <c r="F4" s="4">
        <f>WBS!H18</f>
        <v/>
      </c>
      <c r="G4" s="4">
        <f>WBS!I18</f>
        <v/>
      </c>
      <c r="H4" s="4">
        <f>WBS!J18</f>
        <v/>
      </c>
      <c r="I4" s="4">
        <f>WBS!K18</f>
        <v/>
      </c>
      <c r="J4" s="4">
        <f>WBS!L18</f>
        <v/>
      </c>
      <c r="K4" s="4">
        <f>WBS!M18</f>
        <v/>
      </c>
    </row>
    <row r="5">
      <c r="A5" s="2">
        <f>WBS!B25</f>
        <v/>
      </c>
      <c r="B5" s="2" t="inlineStr">
        <is>
          <t>Embed the new operating model and build internal capability</t>
        </is>
      </c>
      <c r="C5" s="4">
        <f>WBS!E25</f>
        <v/>
      </c>
      <c r="D5" s="4">
        <f>WBS!F25</f>
        <v/>
      </c>
      <c r="E5" s="4">
        <f>WBS!G25</f>
        <v/>
      </c>
      <c r="F5" s="4">
        <f>WBS!H25</f>
        <v/>
      </c>
      <c r="G5" s="4">
        <f>WBS!I25</f>
        <v/>
      </c>
      <c r="H5" s="4">
        <f>WBS!J25</f>
        <v/>
      </c>
      <c r="I5" s="4">
        <f>WBS!K25</f>
        <v/>
      </c>
      <c r="J5" s="4">
        <f>WBS!L25</f>
        <v/>
      </c>
      <c r="K5" s="4">
        <f>WBS!M25</f>
        <v/>
      </c>
    </row>
    <row r="6">
      <c r="A6" s="11" t="inlineStr">
        <is>
          <t>TOTAL</t>
        </is>
      </c>
      <c r="B6" s="11" t="n"/>
      <c r="C6" s="13">
        <f>SUM(C2:C5)</f>
        <v/>
      </c>
      <c r="D6" s="13">
        <f>SUM(D2:D5)</f>
        <v/>
      </c>
      <c r="E6" s="13">
        <f>SUM(E2:E5)</f>
        <v/>
      </c>
      <c r="F6" s="13">
        <f>SUM(F2:F5)</f>
        <v/>
      </c>
      <c r="G6" s="13">
        <f>SUM(G2:G5)</f>
        <v/>
      </c>
      <c r="H6" s="13">
        <f>SUM(H2:H5)</f>
        <v/>
      </c>
      <c r="I6" s="13">
        <f>SUM(I2:I5)</f>
        <v/>
      </c>
      <c r="J6" s="13">
        <f>SUM(J2:J5)</f>
        <v/>
      </c>
      <c r="K6" s="13">
        <f>SUM(K2:K5)</f>
        <v/>
      </c>
    </row>
    <row r="8">
      <c r="A8" t="inlineStr">
        <is>
          <t>Tech PERT Effort (PD)</t>
        </is>
      </c>
      <c r="B8">
        <f>F6</f>
        <v/>
      </c>
    </row>
    <row r="9">
      <c r="A9" t="inlineStr">
        <is>
          <t>PM Overhead (+10%) (PD)</t>
        </is>
      </c>
      <c r="B9">
        <f>B8*0.1</f>
        <v/>
      </c>
    </row>
    <row r="10">
      <c r="A10" t="inlineStr">
        <is>
          <t>DevOps Overhead (+5%) (PD)</t>
        </is>
      </c>
      <c r="B10">
        <f>B8*0.05</f>
        <v/>
      </c>
    </row>
    <row r="11">
      <c r="A11" t="inlineStr">
        <is>
          <t>Subtotal Tech + Overhead (PD)</t>
        </is>
      </c>
      <c r="B11">
        <f>B8+B9+B10</f>
        <v/>
      </c>
    </row>
    <row r="12">
      <c r="A12" t="inlineStr">
        <is>
          <t>Contingency per-risk (PD)</t>
        </is>
      </c>
      <c r="B12">
        <f>Risks!L8</f>
        <v/>
      </c>
    </row>
    <row r="13">
      <c r="A13" t="inlineStr">
        <is>
          <t>Low Band</t>
        </is>
      </c>
      <c r="B13">
        <f>B11+B12</f>
        <v/>
      </c>
    </row>
    <row r="14">
      <c r="A14" t="inlineStr">
        <is>
          <t>Management Reserve (10%) (PD)</t>
        </is>
      </c>
      <c r="B14">
        <f>B13*0.1</f>
        <v/>
      </c>
    </row>
    <row r="15">
      <c r="A15" t="inlineStr">
        <is>
          <t>Medium Band (recommended)</t>
        </is>
      </c>
      <c r="B15">
        <f>B13+B14</f>
        <v/>
      </c>
    </row>
    <row r="16">
      <c r="A16" t="inlineStr">
        <is>
          <t>High Band</t>
        </is>
      </c>
      <c r="B16">
        <f>B15*(1+0.12)</f>
        <v/>
      </c>
    </row>
    <row r="17">
      <c r="A17" t="inlineStr">
        <is>
          <t>Total Billable Effort (PD)</t>
        </is>
      </c>
      <c r="B17">
        <f>WBS!S30</f>
        <v/>
      </c>
    </row>
    <row r="18">
      <c r="A18" t="inlineStr">
        <is>
          <t>Billable Ratio</t>
        </is>
      </c>
      <c r="B18">
        <f>B17/B8</f>
        <v/>
      </c>
    </row>
    <row r="20">
      <c r="A20" t="inlineStr">
        <is>
          <t>Calendar Duration (weeks)</t>
        </is>
      </c>
      <c r="B20" s="20" t="n">
        <v>6</v>
      </c>
    </row>
    <row r="22">
      <c r="A22" s="21" t="inlineStr">
        <is>
          <t>Effort by Team (PD)</t>
        </is>
      </c>
    </row>
    <row r="23">
      <c r="A23" t="inlineStr">
        <is>
          <t>Consulting</t>
        </is>
      </c>
      <c r="B23" s="22" t="n">
        <v>445.6666666666666</v>
      </c>
    </row>
    <row r="25">
      <c r="A25" s="21" t="inlineStr">
        <is>
          <t>Sensitivity Scenarios</t>
        </is>
      </c>
    </row>
    <row r="26">
      <c r="A26" t="inlineStr">
        <is>
          <t>Optimistic: ~85% of Fascia MEDIA — best-case execution for 5-consulting</t>
        </is>
      </c>
    </row>
    <row r="27">
      <c r="A27" t="inlineStr">
        <is>
          <t>Realistic: Fascia MEDIA — current best estimate including overhead and MR</t>
        </is>
      </c>
    </row>
    <row r="28">
      <c r="A28" t="inlineStr">
        <is>
          <t>Pessimistic: ~115% of Fascia MEDIA — material slippage on critical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2026-09-29T17:41:18Z</dcterms:created>
  <dcterms:modified xmlns:dcterms="http://purl.org/dc/terms/" xmlns:xsi="http://www.w3.org/2001/XMLSchema-instance" xsi:type="dcterms:W3CDTF">2026-09-29T17:41:18Z</dcterms:modified>
</cp:coreProperties>
</file>