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Resource Plan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FFFFFFFF"/>
    </font>
    <font>
      <b val="1"/>
    </font>
    <font/>
    <font>
      <i val="1"/>
    </font>
    <font>
      <b val="1"/>
      <color rgb="FFFF0000"/>
    </font>
  </fonts>
  <fills count="7">
    <fill>
      <patternFill/>
    </fill>
    <fill>
      <patternFill patternType="gray125"/>
    </fill>
    <fill>
      <patternFill patternType="solid">
        <fgColor rgb="FF457B9D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2F2F2F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4" fontId="2" fillId="2" borderId="0" applyAlignment="1" pivotButton="0" quotePrefix="0" xfId="0">
      <alignment wrapText="1"/>
    </xf>
    <xf numFmtId="4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4" fontId="3" fillId="4" borderId="0" applyAlignment="1" pivotButton="0" quotePrefix="0" xfId="0">
      <alignment wrapText="1"/>
    </xf>
    <xf numFmtId="4" fontId="3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4" fontId="4" fillId="0" borderId="0" applyAlignment="1" pivotButton="0" quotePrefix="0" xfId="0">
      <alignment wrapText="1"/>
    </xf>
    <xf numFmtId="4" fontId="4" fillId="3" borderId="0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4" fontId="2" fillId="5" borderId="1" applyAlignment="1" pivotButton="0" quotePrefix="0" xfId="0">
      <alignment wrapText="1"/>
    </xf>
    <xf numFmtId="4" fontId="2" fillId="3" borderId="1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4" fontId="0" fillId="6" borderId="0" pivotButton="0" quotePrefix="0" xfId="0"/>
    <xf numFmtId="4" fontId="0" fillId="0" borderId="0" pivotButton="0" quotePrefix="0" xfId="0"/>
    <xf numFmtId="4" fontId="3" fillId="0" borderId="0" pivotButton="0" quotePrefix="0" xfId="0"/>
    <xf numFmtId="0" fontId="6" fillId="0" borderId="0" pivotButton="0" quotePrefix="0" xfId="0"/>
    <xf numFmtId="1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25" customWidth="1" min="14" max="14"/>
    <col width="20" customWidth="1" min="15" max="15"/>
    <col width="20" customWidth="1" min="16" max="16"/>
    <col width="25" customWidth="1" min="17" max="17"/>
    <col width="10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Work Package</t>
        </is>
      </c>
      <c r="D1" s="1" t="inlineStr">
        <is>
          <t>Activity</t>
        </is>
      </c>
      <c r="E1" s="1" t="inlineStr">
        <is>
          <t>Best Effort (pd)</t>
        </is>
      </c>
      <c r="F1" s="1" t="inlineStr">
        <is>
          <t>Likely Effort (pd)</t>
        </is>
      </c>
      <c r="G1" s="1" t="inlineStr">
        <is>
          <t>Worst Effort (pd)</t>
        </is>
      </c>
      <c r="H1" s="1" t="inlineStr">
        <is>
          <t>PERT Effort (pd)</t>
        </is>
      </c>
      <c r="I1" s="1" t="inlineStr">
        <is>
          <t>Best Duration (d)</t>
        </is>
      </c>
      <c r="J1" s="1" t="inlineStr">
        <is>
          <t>Likely Duration (d)</t>
        </is>
      </c>
      <c r="K1" s="1" t="inlineStr">
        <is>
          <t>Worst Duration (d)</t>
        </is>
      </c>
      <c r="L1" s="1" t="inlineStr">
        <is>
          <t>PERT Duration (d)</t>
        </is>
      </c>
      <c r="M1" s="1" t="inlineStr">
        <is>
          <t>σ Duration</t>
        </is>
      </c>
      <c r="N1" s="1" t="inlineStr">
        <is>
          <t>Resources</t>
        </is>
      </c>
      <c r="O1" s="1" t="inlineStr">
        <is>
          <t>Dependencies</t>
        </is>
      </c>
      <c r="P1" s="1" t="inlineStr">
        <is>
          <t>Risks</t>
        </is>
      </c>
      <c r="Q1" s="1" t="inlineStr">
        <is>
          <t>Notes</t>
        </is>
      </c>
      <c r="R1" s="1" t="inlineStr">
        <is>
          <t>Billable</t>
        </is>
      </c>
      <c r="S1" s="1" t="inlineStr">
        <is>
          <t>Billable PERT Effort</t>
        </is>
      </c>
    </row>
    <row r="2">
      <c r="A2" s="2" t="inlineStr">
        <is>
          <t>1</t>
        </is>
      </c>
      <c r="B2" s="2" t="inlineStr">
        <is>
          <t>Assessment &amp; Discovery</t>
        </is>
      </c>
      <c r="C2" s="2" t="n"/>
      <c r="D2" s="2" t="n"/>
      <c r="E2" s="3">
        <f>SUM(E4,E5,E6,E8,E9,E10)</f>
        <v/>
      </c>
      <c r="F2" s="3">
        <f>SUM(F4,F5,F6,F8,F9,F10)</f>
        <v/>
      </c>
      <c r="G2" s="3">
        <f>SUM(G4,G5,G6,G8,G9,G10)</f>
        <v/>
      </c>
      <c r="H2" s="4">
        <f>(E2+4*F2+G2)/6</f>
        <v/>
      </c>
      <c r="I2" s="3">
        <f>SUM(I4,I5,I6,I8,I9,I10)</f>
        <v/>
      </c>
      <c r="J2" s="3">
        <f>SUM(J4,J5,J6,J8,J9,J10)</f>
        <v/>
      </c>
      <c r="K2" s="3">
        <f>SUM(K4,K5,K6,K8,K9,K10)</f>
        <v/>
      </c>
      <c r="L2" s="4">
        <f>(I2+4*J2+K2)/6</f>
        <v/>
      </c>
      <c r="M2" s="4">
        <f>(K2-I2)/6</f>
        <v/>
      </c>
      <c r="N2" s="2" t="n"/>
      <c r="O2" s="2" t="n"/>
      <c r="P2" s="2" t="n"/>
      <c r="Q2" s="2" t="n"/>
      <c r="R2" s="2" t="n"/>
      <c r="S2" s="4">
        <f>SUM(S4,S5,S6,S8,S9,S10)</f>
        <v/>
      </c>
    </row>
    <row r="3">
      <c r="A3" s="5" t="inlineStr">
        <is>
          <t>1.1</t>
        </is>
      </c>
      <c r="B3" s="5" t="n"/>
      <c r="C3" s="5" t="inlineStr">
        <is>
          <t>Infrastructure Inventory</t>
        </is>
      </c>
      <c r="D3" s="5" t="n"/>
      <c r="E3" s="6">
        <f>SUM(E4:E6)</f>
        <v/>
      </c>
      <c r="F3" s="6">
        <f>SUM(F4:F6)</f>
        <v/>
      </c>
      <c r="G3" s="6">
        <f>SUM(G4:G6)</f>
        <v/>
      </c>
      <c r="H3" s="7">
        <f>(E3+4*F3+G3)/6</f>
        <v/>
      </c>
      <c r="I3" s="6">
        <f>SUM(I4:I6)</f>
        <v/>
      </c>
      <c r="J3" s="6">
        <f>SUM(J4:J6)</f>
        <v/>
      </c>
      <c r="K3" s="6">
        <f>SUM(K4:K6)</f>
        <v/>
      </c>
      <c r="L3" s="7">
        <f>(I3+4*J3+K3)/6</f>
        <v/>
      </c>
      <c r="M3" s="7">
        <f>(K3-I3)/6</f>
        <v/>
      </c>
      <c r="N3" s="5" t="n"/>
      <c r="O3" s="5" t="n"/>
      <c r="P3" s="5" t="n"/>
      <c r="Q3" s="5" t="n"/>
      <c r="R3" s="5" t="n"/>
      <c r="S3" s="7">
        <f>SUM(S4:S6)</f>
        <v/>
      </c>
    </row>
    <row r="4">
      <c r="A4" s="8" t="inlineStr">
        <is>
          <t>1.1.1</t>
        </is>
      </c>
      <c r="B4" s="8" t="n"/>
      <c r="C4" s="8" t="n"/>
      <c r="D4" s="8" t="inlineStr">
        <is>
          <t>Server and network inventory catalogue</t>
        </is>
      </c>
      <c r="E4" s="9" t="n">
        <v>3</v>
      </c>
      <c r="F4" s="9" t="n">
        <v>5</v>
      </c>
      <c r="G4" s="9" t="n">
        <v>8</v>
      </c>
      <c r="H4" s="10">
        <f>(E4+4*F4+G4)/6</f>
        <v/>
      </c>
      <c r="I4" s="9" t="n">
        <v>3</v>
      </c>
      <c r="J4" s="9" t="n">
        <v>5</v>
      </c>
      <c r="K4" s="9" t="n">
        <v>8</v>
      </c>
      <c r="L4" s="10">
        <f>(I4+4*J4+K4)/6</f>
        <v/>
      </c>
      <c r="M4" s="10">
        <f>(K4-I4)/6</f>
        <v/>
      </c>
      <c r="N4" s="8" t="inlineStr">
        <is>
          <t>CA, DE</t>
        </is>
      </c>
      <c r="O4" s="8" t="inlineStr"/>
      <c r="P4" s="8" t="inlineStr">
        <is>
          <t>R02</t>
        </is>
      </c>
      <c r="Q4" s="8" t="inlineStr">
        <is>
          <t>Includes physical, virtual and cloud-native assets</t>
        </is>
      </c>
      <c r="R4" s="8" t="inlineStr">
        <is>
          <t>Y</t>
        </is>
      </c>
      <c r="S4" s="10">
        <f>IF(R4="Y",H4,0)</f>
        <v/>
      </c>
    </row>
    <row r="5">
      <c r="A5" s="8" t="inlineStr">
        <is>
          <t>1.1.2</t>
        </is>
      </c>
      <c r="B5" s="8" t="n"/>
      <c r="C5" s="8" t="n"/>
      <c r="D5" s="8" t="inlineStr">
        <is>
          <t>Application dependency mapping</t>
        </is>
      </c>
      <c r="E5" s="9" t="n">
        <v>4</v>
      </c>
      <c r="F5" s="9" t="n">
        <v>7</v>
      </c>
      <c r="G5" s="9" t="n">
        <v>12</v>
      </c>
      <c r="H5" s="10">
        <f>(E5+4*F5+G5)/6</f>
        <v/>
      </c>
      <c r="I5" s="9" t="n">
        <v>4</v>
      </c>
      <c r="J5" s="9" t="n">
        <v>7</v>
      </c>
      <c r="K5" s="9" t="n">
        <v>12</v>
      </c>
      <c r="L5" s="10">
        <f>(I5+4*J5+K5)/6</f>
        <v/>
      </c>
      <c r="M5" s="10">
        <f>(K5-I5)/6</f>
        <v/>
      </c>
      <c r="N5" s="8" t="inlineStr">
        <is>
          <t>CA, DEV</t>
        </is>
      </c>
      <c r="O5" s="8" t="inlineStr">
        <is>
          <t>1.1.1</t>
        </is>
      </c>
      <c r="P5" s="8" t="inlineStr">
        <is>
          <t>R02, R04</t>
        </is>
      </c>
      <c r="Q5" s="8" t="inlineStr">
        <is>
          <t>Dependency graph across all 12 applications</t>
        </is>
      </c>
      <c r="R5" s="8" t="inlineStr">
        <is>
          <t>Y</t>
        </is>
      </c>
      <c r="S5" s="10">
        <f>IF(R5="Y",H5,0)</f>
        <v/>
      </c>
    </row>
    <row r="6">
      <c r="A6" s="8" t="inlineStr">
        <is>
          <t>1.1.3</t>
        </is>
      </c>
      <c r="B6" s="8" t="n"/>
      <c r="C6" s="8" t="n"/>
      <c r="D6" s="8" t="inlineStr">
        <is>
          <t>Licensing and compliance audit</t>
        </is>
      </c>
      <c r="E6" s="9" t="n">
        <v>2</v>
      </c>
      <c r="F6" s="9" t="n">
        <v>3</v>
      </c>
      <c r="G6" s="9" t="n">
        <v>5</v>
      </c>
      <c r="H6" s="10">
        <f>(E6+4*F6+G6)/6</f>
        <v/>
      </c>
      <c r="I6" s="9" t="n">
        <v>2</v>
      </c>
      <c r="J6" s="9" t="n">
        <v>3</v>
      </c>
      <c r="K6" s="9" t="n">
        <v>5</v>
      </c>
      <c r="L6" s="10">
        <f>(I6+4*J6+K6)/6</f>
        <v/>
      </c>
      <c r="M6" s="10">
        <f>(K6-I6)/6</f>
        <v/>
      </c>
      <c r="N6" s="8" t="inlineStr">
        <is>
          <t>PM, SE</t>
        </is>
      </c>
      <c r="O6" s="8" t="inlineStr">
        <is>
          <t>1.1.1</t>
        </is>
      </c>
      <c r="P6" s="8" t="inlineStr">
        <is>
          <t>R12, R14</t>
        </is>
      </c>
      <c r="Q6" s="8" t="inlineStr">
        <is>
          <t>Software licences and regulatory obligations</t>
        </is>
      </c>
      <c r="R6" s="8" t="inlineStr">
        <is>
          <t>Y</t>
        </is>
      </c>
      <c r="S6" s="10">
        <f>IF(R6="Y",H6,0)</f>
        <v/>
      </c>
    </row>
    <row r="7">
      <c r="A7" s="5" t="inlineStr">
        <is>
          <t>1.2</t>
        </is>
      </c>
      <c r="B7" s="5" t="n"/>
      <c r="C7" s="5" t="inlineStr">
        <is>
          <t>Workload Assessment</t>
        </is>
      </c>
      <c r="D7" s="5" t="n"/>
      <c r="E7" s="6">
        <f>SUM(E8:E10)</f>
        <v/>
      </c>
      <c r="F7" s="6">
        <f>SUM(F8:F10)</f>
        <v/>
      </c>
      <c r="G7" s="6">
        <f>SUM(G8:G10)</f>
        <v/>
      </c>
      <c r="H7" s="7">
        <f>(E7+4*F7+G7)/6</f>
        <v/>
      </c>
      <c r="I7" s="6">
        <f>SUM(I8:I10)</f>
        <v/>
      </c>
      <c r="J7" s="6">
        <f>SUM(J8:J10)</f>
        <v/>
      </c>
      <c r="K7" s="6">
        <f>SUM(K8:K10)</f>
        <v/>
      </c>
      <c r="L7" s="7">
        <f>(I7+4*J7+K7)/6</f>
        <v/>
      </c>
      <c r="M7" s="7">
        <f>(K7-I7)/6</f>
        <v/>
      </c>
      <c r="N7" s="5" t="n"/>
      <c r="O7" s="5" t="n"/>
      <c r="P7" s="5" t="n"/>
      <c r="Q7" s="5" t="n"/>
      <c r="R7" s="5" t="n"/>
      <c r="S7" s="7">
        <f>SUM(S8:S10)</f>
        <v/>
      </c>
    </row>
    <row r="8">
      <c r="A8" s="8" t="inlineStr">
        <is>
          <t>1.2.1</t>
        </is>
      </c>
      <c r="B8" s="8" t="n"/>
      <c r="C8" s="8" t="n"/>
      <c r="D8" s="8" t="inlineStr">
        <is>
          <t>Application portfolio classification (6-R model)</t>
        </is>
      </c>
      <c r="E8" s="9" t="n">
        <v>4</v>
      </c>
      <c r="F8" s="9" t="n">
        <v>6</v>
      </c>
      <c r="G8" s="9" t="n">
        <v>9</v>
      </c>
      <c r="H8" s="10">
        <f>(E8+4*F8+G8)/6</f>
        <v/>
      </c>
      <c r="I8" s="9" t="n">
        <v>4</v>
      </c>
      <c r="J8" s="9" t="n">
        <v>6</v>
      </c>
      <c r="K8" s="9" t="n">
        <v>9</v>
      </c>
      <c r="L8" s="10">
        <f>(I8+4*J8+K8)/6</f>
        <v/>
      </c>
      <c r="M8" s="10">
        <f>(K8-I8)/6</f>
        <v/>
      </c>
      <c r="N8" s="8" t="inlineStr">
        <is>
          <t>CA, DEV</t>
        </is>
      </c>
      <c r="O8" s="8" t="inlineStr">
        <is>
          <t>1.1.2</t>
        </is>
      </c>
      <c r="P8" s="8" t="inlineStr">
        <is>
          <t>R06</t>
        </is>
      </c>
      <c r="Q8" s="8" t="inlineStr">
        <is>
          <t>Rehost, Replatform, Refactor, Repurchase, Retire, Retain</t>
        </is>
      </c>
      <c r="R8" s="8" t="inlineStr">
        <is>
          <t>Y</t>
        </is>
      </c>
      <c r="S8" s="10">
        <f>IF(R8="Y",H8,0)</f>
        <v/>
      </c>
    </row>
    <row r="9">
      <c r="A9" s="8" t="inlineStr">
        <is>
          <t>1.2.2</t>
        </is>
      </c>
      <c r="B9" s="8" t="n"/>
      <c r="C9" s="8" t="n"/>
      <c r="D9" s="8" t="inlineStr">
        <is>
          <t>TCO and ROI cloud analysis</t>
        </is>
      </c>
      <c r="E9" s="9" t="n">
        <v>2</v>
      </c>
      <c r="F9" s="9" t="n">
        <v>3</v>
      </c>
      <c r="G9" s="9" t="n">
        <v>5</v>
      </c>
      <c r="H9" s="10">
        <f>(E9+4*F9+G9)/6</f>
        <v/>
      </c>
      <c r="I9" s="9" t="n">
        <v>2</v>
      </c>
      <c r="J9" s="9" t="n">
        <v>3</v>
      </c>
      <c r="K9" s="9" t="n">
        <v>5</v>
      </c>
      <c r="L9" s="10">
        <f>(I9+4*J9+K9)/6</f>
        <v/>
      </c>
      <c r="M9" s="10">
        <f>(K9-I9)/6</f>
        <v/>
      </c>
      <c r="N9" s="8" t="inlineStr">
        <is>
          <t>PM</t>
        </is>
      </c>
      <c r="O9" s="8" t="inlineStr">
        <is>
          <t>1.2.1</t>
        </is>
      </c>
      <c r="P9" s="8" t="inlineStr">
        <is>
          <t>R12</t>
        </is>
      </c>
      <c r="Q9" s="8" t="inlineStr"/>
      <c r="R9" s="8" t="inlineStr">
        <is>
          <t>Y</t>
        </is>
      </c>
      <c r="S9" s="10">
        <f>IF(R9="Y",H9,0)</f>
        <v/>
      </c>
    </row>
    <row r="10">
      <c r="A10" s="8" t="inlineStr">
        <is>
          <t>1.2.3</t>
        </is>
      </c>
      <c r="B10" s="8" t="n"/>
      <c r="C10" s="8" t="n"/>
      <c r="D10" s="8" t="inlineStr">
        <is>
          <t>Risk and constraint identification</t>
        </is>
      </c>
      <c r="E10" s="9" t="n">
        <v>2</v>
      </c>
      <c r="F10" s="9" t="n">
        <v>3</v>
      </c>
      <c r="G10" s="9" t="n">
        <v>5</v>
      </c>
      <c r="H10" s="10">
        <f>(E10+4*F10+G10)/6</f>
        <v/>
      </c>
      <c r="I10" s="9" t="n">
        <v>2</v>
      </c>
      <c r="J10" s="9" t="n">
        <v>3</v>
      </c>
      <c r="K10" s="9" t="n">
        <v>5</v>
      </c>
      <c r="L10" s="10">
        <f>(I10+4*J10+K10)/6</f>
        <v/>
      </c>
      <c r="M10" s="10">
        <f>(K10-I10)/6</f>
        <v/>
      </c>
      <c r="N10" s="8" t="inlineStr">
        <is>
          <t>PM, CA</t>
        </is>
      </c>
      <c r="O10" s="8" t="inlineStr">
        <is>
          <t>1.1.3, 1.2.1</t>
        </is>
      </c>
      <c r="P10" s="8" t="inlineStr"/>
      <c r="Q10" s="8" t="inlineStr">
        <is>
          <t>Feeds into risk register</t>
        </is>
      </c>
      <c r="R10" s="8" t="inlineStr">
        <is>
          <t>Y</t>
        </is>
      </c>
      <c r="S10" s="10">
        <f>IF(R10="Y",H10,0)</f>
        <v/>
      </c>
    </row>
    <row r="11">
      <c r="A11" s="2" t="inlineStr">
        <is>
          <t>2</t>
        </is>
      </c>
      <c r="B11" s="2" t="inlineStr">
        <is>
          <t>Cloud Architecture &amp; Planning</t>
        </is>
      </c>
      <c r="C11" s="2" t="n"/>
      <c r="D11" s="2" t="n"/>
      <c r="E11" s="3">
        <f>SUM(E13,E14,E15,E16,E18,E19,E20)</f>
        <v/>
      </c>
      <c r="F11" s="3">
        <f>SUM(F13,F14,F15,F16,F18,F19,F20)</f>
        <v/>
      </c>
      <c r="G11" s="3">
        <f>SUM(G13,G14,G15,G16,G18,G19,G20)</f>
        <v/>
      </c>
      <c r="H11" s="4">
        <f>(E11+4*F11+G11)/6</f>
        <v/>
      </c>
      <c r="I11" s="3">
        <f>SUM(I13,I14,I15,I16,I18,I19,I20)</f>
        <v/>
      </c>
      <c r="J11" s="3">
        <f>SUM(J13,J14,J15,J16,J18,J19,J20)</f>
        <v/>
      </c>
      <c r="K11" s="3">
        <f>SUM(K13,K14,K15,K16,K18,K19,K20)</f>
        <v/>
      </c>
      <c r="L11" s="4">
        <f>(I11+4*J11+K11)/6</f>
        <v/>
      </c>
      <c r="M11" s="4">
        <f>(K11-I11)/6</f>
        <v/>
      </c>
      <c r="N11" s="2" t="n"/>
      <c r="O11" s="2" t="n"/>
      <c r="P11" s="2" t="n"/>
      <c r="Q11" s="2" t="n"/>
      <c r="R11" s="2" t="n"/>
      <c r="S11" s="4">
        <f>SUM(S13,S14,S15,S16,S18,S19,S20)</f>
        <v/>
      </c>
    </row>
    <row r="12">
      <c r="A12" s="5" t="inlineStr">
        <is>
          <t>2.1</t>
        </is>
      </c>
      <c r="B12" s="5" t="n"/>
      <c r="C12" s="5" t="inlineStr">
        <is>
          <t>Architecture Design</t>
        </is>
      </c>
      <c r="D12" s="5" t="n"/>
      <c r="E12" s="6">
        <f>SUM(E13:E16)</f>
        <v/>
      </c>
      <c r="F12" s="6">
        <f>SUM(F13:F16)</f>
        <v/>
      </c>
      <c r="G12" s="6">
        <f>SUM(G13:G16)</f>
        <v/>
      </c>
      <c r="H12" s="7">
        <f>(E12+4*F12+G12)/6</f>
        <v/>
      </c>
      <c r="I12" s="6">
        <f>SUM(I13:I16)</f>
        <v/>
      </c>
      <c r="J12" s="6">
        <f>SUM(J13:J16)</f>
        <v/>
      </c>
      <c r="K12" s="6">
        <f>SUM(K13:K16)</f>
        <v/>
      </c>
      <c r="L12" s="7">
        <f>(I12+4*J12+K12)/6</f>
        <v/>
      </c>
      <c r="M12" s="7">
        <f>(K12-I12)/6</f>
        <v/>
      </c>
      <c r="N12" s="5" t="n"/>
      <c r="O12" s="5" t="n"/>
      <c r="P12" s="5" t="n"/>
      <c r="Q12" s="5" t="n"/>
      <c r="R12" s="5" t="n"/>
      <c r="S12" s="7">
        <f>SUM(S13:S16)</f>
        <v/>
      </c>
    </row>
    <row r="13">
      <c r="A13" s="8" t="inlineStr">
        <is>
          <t>2.1.1</t>
        </is>
      </c>
      <c r="B13" s="8" t="n"/>
      <c r="C13" s="8" t="n"/>
      <c r="D13" s="8" t="inlineStr">
        <is>
          <t>Landing zone and network topology design</t>
        </is>
      </c>
      <c r="E13" s="9" t="n">
        <v>5</v>
      </c>
      <c r="F13" s="9" t="n">
        <v>8</v>
      </c>
      <c r="G13" s="9" t="n">
        <v>12</v>
      </c>
      <c r="H13" s="10">
        <f>(E13+4*F13+G13)/6</f>
        <v/>
      </c>
      <c r="I13" s="9" t="n">
        <v>5</v>
      </c>
      <c r="J13" s="9" t="n">
        <v>8</v>
      </c>
      <c r="K13" s="9" t="n">
        <v>12</v>
      </c>
      <c r="L13" s="10">
        <f>(I13+4*J13+K13)/6</f>
        <v/>
      </c>
      <c r="M13" s="10">
        <f>(K13-I13)/6</f>
        <v/>
      </c>
      <c r="N13" s="8" t="inlineStr">
        <is>
          <t>CA, DE</t>
        </is>
      </c>
      <c r="O13" s="8" t="inlineStr">
        <is>
          <t>1.2.1</t>
        </is>
      </c>
      <c r="P13" s="8" t="inlineStr">
        <is>
          <t>R05, R08</t>
        </is>
      </c>
      <c r="Q13" s="8" t="inlineStr">
        <is>
          <t>Multi-region architecture with hub-and-spoke topology</t>
        </is>
      </c>
      <c r="R13" s="8" t="inlineStr">
        <is>
          <t>Y</t>
        </is>
      </c>
      <c r="S13" s="10">
        <f>IF(R13="Y",H13,0)</f>
        <v/>
      </c>
    </row>
    <row r="14">
      <c r="A14" s="8" t="inlineStr">
        <is>
          <t>2.1.2</t>
        </is>
      </c>
      <c r="B14" s="8" t="n"/>
      <c r="C14" s="8" t="n"/>
      <c r="D14" s="8" t="inlineStr">
        <is>
          <t>Identity and access management architecture</t>
        </is>
      </c>
      <c r="E14" s="9" t="n">
        <v>3</v>
      </c>
      <c r="F14" s="9" t="n">
        <v>5</v>
      </c>
      <c r="G14" s="9" t="n">
        <v>8</v>
      </c>
      <c r="H14" s="10">
        <f>(E14+4*F14+G14)/6</f>
        <v/>
      </c>
      <c r="I14" s="9" t="n">
        <v>3</v>
      </c>
      <c r="J14" s="9" t="n">
        <v>5</v>
      </c>
      <c r="K14" s="9" t="n">
        <v>8</v>
      </c>
      <c r="L14" s="10">
        <f>(I14+4*J14+K14)/6</f>
        <v/>
      </c>
      <c r="M14" s="10">
        <f>(K14-I14)/6</f>
        <v/>
      </c>
      <c r="N14" s="8" t="inlineStr">
        <is>
          <t>SE, CA</t>
        </is>
      </c>
      <c r="O14" s="8" t="inlineStr">
        <is>
          <t>2.1.1</t>
        </is>
      </c>
      <c r="P14" s="8" t="inlineStr">
        <is>
          <t>R07</t>
        </is>
      </c>
      <c r="Q14" s="8" t="inlineStr">
        <is>
          <t>SSO, RBAC, zero-trust principles</t>
        </is>
      </c>
      <c r="R14" s="8" t="inlineStr">
        <is>
          <t>Y</t>
        </is>
      </c>
      <c r="S14" s="10">
        <f>IF(R14="Y",H14,0)</f>
        <v/>
      </c>
    </row>
    <row r="15">
      <c r="A15" s="8" t="inlineStr">
        <is>
          <t>2.1.3</t>
        </is>
      </c>
      <c r="B15" s="8" t="n"/>
      <c r="C15" s="8" t="n"/>
      <c r="D15" s="8" t="inlineStr">
        <is>
          <t>Security controls and compliance framework</t>
        </is>
      </c>
      <c r="E15" s="9" t="n">
        <v>4</v>
      </c>
      <c r="F15" s="9" t="n">
        <v>6</v>
      </c>
      <c r="G15" s="9" t="n">
        <v>10</v>
      </c>
      <c r="H15" s="10">
        <f>(E15+4*F15+G15)/6</f>
        <v/>
      </c>
      <c r="I15" s="9" t="n">
        <v>4</v>
      </c>
      <c r="J15" s="9" t="n">
        <v>6</v>
      </c>
      <c r="K15" s="9" t="n">
        <v>10</v>
      </c>
      <c r="L15" s="10">
        <f>(I15+4*J15+K15)/6</f>
        <v/>
      </c>
      <c r="M15" s="10">
        <f>(K15-I15)/6</f>
        <v/>
      </c>
      <c r="N15" s="8" t="inlineStr">
        <is>
          <t>SE</t>
        </is>
      </c>
      <c r="O15" s="8" t="inlineStr">
        <is>
          <t>2.1.2</t>
        </is>
      </c>
      <c r="P15" s="8" t="inlineStr">
        <is>
          <t>R07, R14</t>
        </is>
      </c>
      <c r="Q15" s="8" t="inlineStr">
        <is>
          <t>Aligned to CIS, NIST, GDPR controls</t>
        </is>
      </c>
      <c r="R15" s="8" t="inlineStr">
        <is>
          <t>Y</t>
        </is>
      </c>
      <c r="S15" s="10">
        <f>IF(R15="Y",H15,0)</f>
        <v/>
      </c>
    </row>
    <row r="16">
      <c r="A16" s="8" t="inlineStr">
        <is>
          <t>2.1.4</t>
        </is>
      </c>
      <c r="B16" s="8" t="n"/>
      <c r="C16" s="8" t="n"/>
      <c r="D16" s="8" t="inlineStr">
        <is>
          <t>Disaster recovery and backup strategy</t>
        </is>
      </c>
      <c r="E16" s="9" t="n">
        <v>3</v>
      </c>
      <c r="F16" s="9" t="n">
        <v>4</v>
      </c>
      <c r="G16" s="9" t="n">
        <v>6</v>
      </c>
      <c r="H16" s="10">
        <f>(E16+4*F16+G16)/6</f>
        <v/>
      </c>
      <c r="I16" s="9" t="n">
        <v>3</v>
      </c>
      <c r="J16" s="9" t="n">
        <v>4</v>
      </c>
      <c r="K16" s="9" t="n">
        <v>6</v>
      </c>
      <c r="L16" s="10">
        <f>(I16+4*J16+K16)/6</f>
        <v/>
      </c>
      <c r="M16" s="10">
        <f>(K16-I16)/6</f>
        <v/>
      </c>
      <c r="N16" s="8" t="inlineStr">
        <is>
          <t>CA, DE</t>
        </is>
      </c>
      <c r="O16" s="8" t="inlineStr">
        <is>
          <t>2.1.1</t>
        </is>
      </c>
      <c r="P16" s="8" t="inlineStr">
        <is>
          <t>R13</t>
        </is>
      </c>
      <c r="Q16" s="8" t="inlineStr">
        <is>
          <t>RTO/RPO targets to be agreed with client</t>
        </is>
      </c>
      <c r="R16" s="8" t="inlineStr">
        <is>
          <t>Y</t>
        </is>
      </c>
      <c r="S16" s="10">
        <f>IF(R16="Y",H16,0)</f>
        <v/>
      </c>
    </row>
    <row r="17">
      <c r="A17" s="5" t="inlineStr">
        <is>
          <t>2.2</t>
        </is>
      </c>
      <c r="B17" s="5" t="n"/>
      <c r="C17" s="5" t="inlineStr">
        <is>
          <t>Migration Planning</t>
        </is>
      </c>
      <c r="D17" s="5" t="n"/>
      <c r="E17" s="6">
        <f>SUM(E18:E20)</f>
        <v/>
      </c>
      <c r="F17" s="6">
        <f>SUM(F18:F20)</f>
        <v/>
      </c>
      <c r="G17" s="6">
        <f>SUM(G18:G20)</f>
        <v/>
      </c>
      <c r="H17" s="7">
        <f>(E17+4*F17+G17)/6</f>
        <v/>
      </c>
      <c r="I17" s="6">
        <f>SUM(I18:I20)</f>
        <v/>
      </c>
      <c r="J17" s="6">
        <f>SUM(J18:J20)</f>
        <v/>
      </c>
      <c r="K17" s="6">
        <f>SUM(K18:K20)</f>
        <v/>
      </c>
      <c r="L17" s="7">
        <f>(I17+4*J17+K17)/6</f>
        <v/>
      </c>
      <c r="M17" s="7">
        <f>(K17-I17)/6</f>
        <v/>
      </c>
      <c r="N17" s="5" t="n"/>
      <c r="O17" s="5" t="n"/>
      <c r="P17" s="5" t="n"/>
      <c r="Q17" s="5" t="n"/>
      <c r="R17" s="5" t="n"/>
      <c r="S17" s="7">
        <f>SUM(S18:S20)</f>
        <v/>
      </c>
    </row>
    <row r="18">
      <c r="A18" s="8" t="inlineStr">
        <is>
          <t>2.2.1</t>
        </is>
      </c>
      <c r="B18" s="8" t="n"/>
      <c r="C18" s="8" t="n"/>
      <c r="D18" s="8" t="inlineStr">
        <is>
          <t>Wave planning and sequence definition</t>
        </is>
      </c>
      <c r="E18" s="9" t="n">
        <v>3</v>
      </c>
      <c r="F18" s="9" t="n">
        <v>4</v>
      </c>
      <c r="G18" s="9" t="n">
        <v>6</v>
      </c>
      <c r="H18" s="10">
        <f>(E18+4*F18+G18)/6</f>
        <v/>
      </c>
      <c r="I18" s="9" t="n">
        <v>3</v>
      </c>
      <c r="J18" s="9" t="n">
        <v>4</v>
      </c>
      <c r="K18" s="9" t="n">
        <v>6</v>
      </c>
      <c r="L18" s="10">
        <f>(I18+4*J18+K18)/6</f>
        <v/>
      </c>
      <c r="M18" s="10">
        <f>(K18-I18)/6</f>
        <v/>
      </c>
      <c r="N18" s="8" t="inlineStr">
        <is>
          <t>CA, PM</t>
        </is>
      </c>
      <c r="O18" s="8" t="inlineStr">
        <is>
          <t>1.2.1, 2.1.1</t>
        </is>
      </c>
      <c r="P18" s="8" t="inlineStr">
        <is>
          <t>R06</t>
        </is>
      </c>
      <c r="Q18" s="8" t="inlineStr">
        <is>
          <t>Dependency on 6-R classification output</t>
        </is>
      </c>
      <c r="R18" s="8" t="inlineStr">
        <is>
          <t>Y</t>
        </is>
      </c>
      <c r="S18" s="10">
        <f>IF(R18="Y",H18,0)</f>
        <v/>
      </c>
    </row>
    <row r="19">
      <c r="A19" s="8" t="inlineStr">
        <is>
          <t>2.2.2</t>
        </is>
      </c>
      <c r="B19" s="8" t="n"/>
      <c r="C19" s="8" t="n"/>
      <c r="D19" s="8" t="inlineStr">
        <is>
          <t>Migration runbook per application (12 apps)</t>
        </is>
      </c>
      <c r="E19" s="9" t="n">
        <v>8</v>
      </c>
      <c r="F19" s="9" t="n">
        <v>12</v>
      </c>
      <c r="G19" s="9" t="n">
        <v>18</v>
      </c>
      <c r="H19" s="10">
        <f>(E19+4*F19+G19)/6</f>
        <v/>
      </c>
      <c r="I19" s="9" t="n">
        <v>8</v>
      </c>
      <c r="J19" s="9" t="n">
        <v>12</v>
      </c>
      <c r="K19" s="9" t="n">
        <v>18</v>
      </c>
      <c r="L19" s="10">
        <f>(I19+4*J19+K19)/6</f>
        <v/>
      </c>
      <c r="M19" s="10">
        <f>(K19-I19)/6</f>
        <v/>
      </c>
      <c r="N19" s="8" t="inlineStr">
        <is>
          <t>CA, DEV, DE</t>
        </is>
      </c>
      <c r="O19" s="8" t="inlineStr">
        <is>
          <t>2.2.1</t>
        </is>
      </c>
      <c r="P19" s="8" t="inlineStr">
        <is>
          <t>R02, R04</t>
        </is>
      </c>
      <c r="Q19" s="8" t="inlineStr">
        <is>
          <t>One runbook per application, covering cutover steps and rollback</t>
        </is>
      </c>
      <c r="R19" s="8" t="inlineStr">
        <is>
          <t>Y</t>
        </is>
      </c>
      <c r="S19" s="10">
        <f>IF(R19="Y",H19,0)</f>
        <v/>
      </c>
    </row>
    <row r="20">
      <c r="A20" s="8" t="inlineStr">
        <is>
          <t>2.2.3</t>
        </is>
      </c>
      <c r="B20" s="8" t="n"/>
      <c r="C20" s="8" t="n"/>
      <c r="D20" s="8" t="inlineStr">
        <is>
          <t>Rollback plan definition</t>
        </is>
      </c>
      <c r="E20" s="9" t="n">
        <v>2</v>
      </c>
      <c r="F20" s="9" t="n">
        <v>3</v>
      </c>
      <c r="G20" s="9" t="n">
        <v>5</v>
      </c>
      <c r="H20" s="10">
        <f>(E20+4*F20+G20)/6</f>
        <v/>
      </c>
      <c r="I20" s="9" t="n">
        <v>2</v>
      </c>
      <c r="J20" s="9" t="n">
        <v>3</v>
      </c>
      <c r="K20" s="9" t="n">
        <v>5</v>
      </c>
      <c r="L20" s="10">
        <f>(I20+4*J20+K20)/6</f>
        <v/>
      </c>
      <c r="M20" s="10">
        <f>(K20-I20)/6</f>
        <v/>
      </c>
      <c r="N20" s="8" t="inlineStr">
        <is>
          <t>DE, PM</t>
        </is>
      </c>
      <c r="O20" s="8" t="inlineStr">
        <is>
          <t>2.2.2</t>
        </is>
      </c>
      <c r="P20" s="8" t="inlineStr">
        <is>
          <t>R13</t>
        </is>
      </c>
      <c r="Q20" s="8" t="inlineStr"/>
      <c r="R20" s="8" t="inlineStr">
        <is>
          <t>Y</t>
        </is>
      </c>
      <c r="S20" s="10">
        <f>IF(R20="Y",H20,0)</f>
        <v/>
      </c>
    </row>
    <row r="21">
      <c r="A21" s="2" t="inlineStr">
        <is>
          <t>3</t>
        </is>
      </c>
      <c r="B21" s="2" t="inlineStr">
        <is>
          <t>Infrastructure Setup</t>
        </is>
      </c>
      <c r="C21" s="2" t="n"/>
      <c r="D21" s="2" t="n"/>
      <c r="E21" s="3">
        <f>SUM(E23,E24,E25,E27,E28,E29,E30)</f>
        <v/>
      </c>
      <c r="F21" s="3">
        <f>SUM(F23,F24,F25,F27,F28,F29,F30)</f>
        <v/>
      </c>
      <c r="G21" s="3">
        <f>SUM(G23,G24,G25,G27,G28,G29,G30)</f>
        <v/>
      </c>
      <c r="H21" s="4">
        <f>(E21+4*F21+G21)/6</f>
        <v/>
      </c>
      <c r="I21" s="3">
        <f>SUM(I23,I24,I25,I27,I28,I29,I30)</f>
        <v/>
      </c>
      <c r="J21" s="3">
        <f>SUM(J23,J24,J25,J27,J28,J29,J30)</f>
        <v/>
      </c>
      <c r="K21" s="3">
        <f>SUM(K23,K24,K25,K27,K28,K29,K30)</f>
        <v/>
      </c>
      <c r="L21" s="4">
        <f>(I21+4*J21+K21)/6</f>
        <v/>
      </c>
      <c r="M21" s="4">
        <f>(K21-I21)/6</f>
        <v/>
      </c>
      <c r="N21" s="2" t="n"/>
      <c r="O21" s="2" t="n"/>
      <c r="P21" s="2" t="n"/>
      <c r="Q21" s="2" t="n"/>
      <c r="R21" s="2" t="n"/>
      <c r="S21" s="4">
        <f>SUM(S23,S24,S25,S27,S28,S29,S30)</f>
        <v/>
      </c>
    </row>
    <row r="22">
      <c r="A22" s="5" t="inlineStr">
        <is>
          <t>3.1</t>
        </is>
      </c>
      <c r="B22" s="5" t="n"/>
      <c r="C22" s="5" t="inlineStr">
        <is>
          <t>Landing Zone Provisioning</t>
        </is>
      </c>
      <c r="D22" s="5" t="n"/>
      <c r="E22" s="6">
        <f>SUM(E23:E25)</f>
        <v/>
      </c>
      <c r="F22" s="6">
        <f>SUM(F23:F25)</f>
        <v/>
      </c>
      <c r="G22" s="6">
        <f>SUM(G23:G25)</f>
        <v/>
      </c>
      <c r="H22" s="7">
        <f>(E22+4*F22+G22)/6</f>
        <v/>
      </c>
      <c r="I22" s="6">
        <f>SUM(I23:I25)</f>
        <v/>
      </c>
      <c r="J22" s="6">
        <f>SUM(J23:J25)</f>
        <v/>
      </c>
      <c r="K22" s="6">
        <f>SUM(K23:K25)</f>
        <v/>
      </c>
      <c r="L22" s="7">
        <f>(I22+4*J22+K22)/6</f>
        <v/>
      </c>
      <c r="M22" s="7">
        <f>(K22-I22)/6</f>
        <v/>
      </c>
      <c r="N22" s="5" t="n"/>
      <c r="O22" s="5" t="n"/>
      <c r="P22" s="5" t="n"/>
      <c r="Q22" s="5" t="n"/>
      <c r="R22" s="5" t="n"/>
      <c r="S22" s="7">
        <f>SUM(S23:S25)</f>
        <v/>
      </c>
    </row>
    <row r="23">
      <c r="A23" s="8" t="inlineStr">
        <is>
          <t>3.1.1</t>
        </is>
      </c>
      <c r="B23" s="8" t="n"/>
      <c r="C23" s="8" t="n"/>
      <c r="D23" s="8" t="inlineStr">
        <is>
          <t>Core account structure, policies and IAM bootstrap</t>
        </is>
      </c>
      <c r="E23" s="9" t="n">
        <v>4</v>
      </c>
      <c r="F23" s="9" t="n">
        <v>6</v>
      </c>
      <c r="G23" s="9" t="n">
        <v>9</v>
      </c>
      <c r="H23" s="10">
        <f>(E23+4*F23+G23)/6</f>
        <v/>
      </c>
      <c r="I23" s="9" t="n">
        <v>4</v>
      </c>
      <c r="J23" s="9" t="n">
        <v>6</v>
      </c>
      <c r="K23" s="9" t="n">
        <v>9</v>
      </c>
      <c r="L23" s="10">
        <f>(I23+4*J23+K23)/6</f>
        <v/>
      </c>
      <c r="M23" s="10">
        <f>(K23-I23)/6</f>
        <v/>
      </c>
      <c r="N23" s="8" t="inlineStr">
        <is>
          <t>DE, SE</t>
        </is>
      </c>
      <c r="O23" s="8" t="inlineStr">
        <is>
          <t>2.1.2, 2.1.3</t>
        </is>
      </c>
      <c r="P23" s="8" t="inlineStr">
        <is>
          <t>R05, R07</t>
        </is>
      </c>
      <c r="Q23" s="8" t="inlineStr">
        <is>
          <t>IaC in Terraform</t>
        </is>
      </c>
      <c r="R23" s="8" t="inlineStr">
        <is>
          <t>Y</t>
        </is>
      </c>
      <c r="S23" s="10">
        <f>IF(R23="Y",H23,0)</f>
        <v/>
      </c>
    </row>
    <row r="24">
      <c r="A24" s="8" t="inlineStr">
        <is>
          <t>3.1.2</t>
        </is>
      </c>
      <c r="B24" s="8" t="n"/>
      <c r="C24" s="8" t="n"/>
      <c r="D24" s="8" t="inlineStr">
        <is>
          <t>VPC/VNet configuration, peering and transit gateway</t>
        </is>
      </c>
      <c r="E24" s="9" t="n">
        <v>3</v>
      </c>
      <c r="F24" s="9" t="n">
        <v>5</v>
      </c>
      <c r="G24" s="9" t="n">
        <v>8</v>
      </c>
      <c r="H24" s="10">
        <f>(E24+4*F24+G24)/6</f>
        <v/>
      </c>
      <c r="I24" s="9" t="n">
        <v>3</v>
      </c>
      <c r="J24" s="9" t="n">
        <v>5</v>
      </c>
      <c r="K24" s="9" t="n">
        <v>8</v>
      </c>
      <c r="L24" s="10">
        <f>(I24+4*J24+K24)/6</f>
        <v/>
      </c>
      <c r="M24" s="10">
        <f>(K24-I24)/6</f>
        <v/>
      </c>
      <c r="N24" s="8" t="inlineStr">
        <is>
          <t>DE, CA</t>
        </is>
      </c>
      <c r="O24" s="8" t="inlineStr">
        <is>
          <t>3.1.1</t>
        </is>
      </c>
      <c r="P24" s="8" t="inlineStr">
        <is>
          <t>R08</t>
        </is>
      </c>
      <c r="Q24" s="8" t="inlineStr"/>
      <c r="R24" s="8" t="inlineStr">
        <is>
          <t>Y</t>
        </is>
      </c>
      <c r="S24" s="10">
        <f>IF(R24="Y",H24,0)</f>
        <v/>
      </c>
    </row>
    <row r="25">
      <c r="A25" s="8" t="inlineStr">
        <is>
          <t>3.1.3</t>
        </is>
      </c>
      <c r="B25" s="8" t="n"/>
      <c r="C25" s="8" t="n"/>
      <c r="D25" s="8" t="inlineStr">
        <is>
          <t>DNS, load balancers and CDN configuration</t>
        </is>
      </c>
      <c r="E25" s="9" t="n">
        <v>2</v>
      </c>
      <c r="F25" s="9" t="n">
        <v>3</v>
      </c>
      <c r="G25" s="9" t="n">
        <v>5</v>
      </c>
      <c r="H25" s="10">
        <f>(E25+4*F25+G25)/6</f>
        <v/>
      </c>
      <c r="I25" s="9" t="n">
        <v>2</v>
      </c>
      <c r="J25" s="9" t="n">
        <v>3</v>
      </c>
      <c r="K25" s="9" t="n">
        <v>5</v>
      </c>
      <c r="L25" s="10">
        <f>(I25+4*J25+K25)/6</f>
        <v/>
      </c>
      <c r="M25" s="10">
        <f>(K25-I25)/6</f>
        <v/>
      </c>
      <c r="N25" s="8" t="inlineStr">
        <is>
          <t>DE</t>
        </is>
      </c>
      <c r="O25" s="8" t="inlineStr">
        <is>
          <t>3.1.2</t>
        </is>
      </c>
      <c r="P25" s="8" t="inlineStr">
        <is>
          <t>R11</t>
        </is>
      </c>
      <c r="Q25" s="8" t="inlineStr"/>
      <c r="R25" s="8" t="inlineStr">
        <is>
          <t>Y</t>
        </is>
      </c>
      <c r="S25" s="10">
        <f>IF(R25="Y",H25,0)</f>
        <v/>
      </c>
    </row>
    <row r="26">
      <c r="A26" s="5" t="inlineStr">
        <is>
          <t>3.2</t>
        </is>
      </c>
      <c r="B26" s="5" t="n"/>
      <c r="C26" s="5" t="inlineStr">
        <is>
          <t>Platform Services Configuration</t>
        </is>
      </c>
      <c r="D26" s="5" t="n"/>
      <c r="E26" s="6">
        <f>SUM(E27:E30)</f>
        <v/>
      </c>
      <c r="F26" s="6">
        <f>SUM(F27:F30)</f>
        <v/>
      </c>
      <c r="G26" s="6">
        <f>SUM(G27:G30)</f>
        <v/>
      </c>
      <c r="H26" s="7">
        <f>(E26+4*F26+G26)/6</f>
        <v/>
      </c>
      <c r="I26" s="6">
        <f>SUM(I27:I30)</f>
        <v/>
      </c>
      <c r="J26" s="6">
        <f>SUM(J27:J30)</f>
        <v/>
      </c>
      <c r="K26" s="6">
        <f>SUM(K27:K30)</f>
        <v/>
      </c>
      <c r="L26" s="7">
        <f>(I26+4*J26+K26)/6</f>
        <v/>
      </c>
      <c r="M26" s="7">
        <f>(K26-I26)/6</f>
        <v/>
      </c>
      <c r="N26" s="5" t="n"/>
      <c r="O26" s="5" t="n"/>
      <c r="P26" s="5" t="n"/>
      <c r="Q26" s="5" t="n"/>
      <c r="R26" s="5" t="n"/>
      <c r="S26" s="7">
        <f>SUM(S27:S30)</f>
        <v/>
      </c>
    </row>
    <row r="27">
      <c r="A27" s="8" t="inlineStr">
        <is>
          <t>3.2.1</t>
        </is>
      </c>
      <c r="B27" s="8" t="n"/>
      <c r="C27" s="8" t="n"/>
      <c r="D27" s="8" t="inlineStr">
        <is>
          <t>Kubernetes cluster setup and hardening</t>
        </is>
      </c>
      <c r="E27" s="9" t="n">
        <v>5</v>
      </c>
      <c r="F27" s="9" t="n">
        <v>8</v>
      </c>
      <c r="G27" s="9" t="n">
        <v>12</v>
      </c>
      <c r="H27" s="10">
        <f>(E27+4*F27+G27)/6</f>
        <v/>
      </c>
      <c r="I27" s="9" t="n">
        <v>5</v>
      </c>
      <c r="J27" s="9" t="n">
        <v>8</v>
      </c>
      <c r="K27" s="9" t="n">
        <v>12</v>
      </c>
      <c r="L27" s="10">
        <f>(I27+4*J27+K27)/6</f>
        <v/>
      </c>
      <c r="M27" s="10">
        <f>(K27-I27)/6</f>
        <v/>
      </c>
      <c r="N27" s="8" t="inlineStr">
        <is>
          <t>DE, SE</t>
        </is>
      </c>
      <c r="O27" s="8" t="inlineStr">
        <is>
          <t>3.1.2</t>
        </is>
      </c>
      <c r="P27" s="8" t="inlineStr">
        <is>
          <t>R04, R09</t>
        </is>
      </c>
      <c r="Q27" s="8" t="inlineStr">
        <is>
          <t>EKS/AKS with node auto-scaling and PodSecurityPolicies</t>
        </is>
      </c>
      <c r="R27" s="8" t="inlineStr">
        <is>
          <t>Y</t>
        </is>
      </c>
      <c r="S27" s="10">
        <f>IF(R27="Y",H27,0)</f>
        <v/>
      </c>
    </row>
    <row r="28">
      <c r="A28" s="8" t="inlineStr">
        <is>
          <t>3.2.2</t>
        </is>
      </c>
      <c r="B28" s="8" t="n"/>
      <c r="C28" s="8" t="n"/>
      <c r="D28" s="8" t="inlineStr">
        <is>
          <t>CI/CD pipeline infrastructure (GitOps with ArgoCD)</t>
        </is>
      </c>
      <c r="E28" s="9" t="n">
        <v>4</v>
      </c>
      <c r="F28" s="9" t="n">
        <v>6</v>
      </c>
      <c r="G28" s="9" t="n">
        <v>9</v>
      </c>
      <c r="H28" s="10">
        <f>(E28+4*F28+G28)/6</f>
        <v/>
      </c>
      <c r="I28" s="9" t="n">
        <v>4</v>
      </c>
      <c r="J28" s="9" t="n">
        <v>6</v>
      </c>
      <c r="K28" s="9" t="n">
        <v>9</v>
      </c>
      <c r="L28" s="10">
        <f>(I28+4*J28+K28)/6</f>
        <v/>
      </c>
      <c r="M28" s="10">
        <f>(K28-I28)/6</f>
        <v/>
      </c>
      <c r="N28" s="8" t="inlineStr">
        <is>
          <t>DE</t>
        </is>
      </c>
      <c r="O28" s="8" t="inlineStr">
        <is>
          <t>3.2.1</t>
        </is>
      </c>
      <c r="P28" s="8" t="inlineStr">
        <is>
          <t>R09</t>
        </is>
      </c>
      <c r="Q28" s="8" t="inlineStr"/>
      <c r="R28" s="8" t="inlineStr">
        <is>
          <t>Y</t>
        </is>
      </c>
      <c r="S28" s="10">
        <f>IF(R28="Y",H28,0)</f>
        <v/>
      </c>
    </row>
    <row r="29">
      <c r="A29" s="8" t="inlineStr">
        <is>
          <t>3.2.3</t>
        </is>
      </c>
      <c r="B29" s="8" t="n"/>
      <c r="C29" s="8" t="n"/>
      <c r="D29" s="8" t="inlineStr">
        <is>
          <t>Monitoring, logging and alerting stack (Prometheus/Grafana/ELK)</t>
        </is>
      </c>
      <c r="E29" s="9" t="n">
        <v>3</v>
      </c>
      <c r="F29" s="9" t="n">
        <v>5</v>
      </c>
      <c r="G29" s="9" t="n">
        <v>8</v>
      </c>
      <c r="H29" s="10">
        <f>(E29+4*F29+G29)/6</f>
        <v/>
      </c>
      <c r="I29" s="9" t="n">
        <v>3</v>
      </c>
      <c r="J29" s="9" t="n">
        <v>5</v>
      </c>
      <c r="K29" s="9" t="n">
        <v>8</v>
      </c>
      <c r="L29" s="10">
        <f>(I29+4*J29+K29)/6</f>
        <v/>
      </c>
      <c r="M29" s="10">
        <f>(K29-I29)/6</f>
        <v/>
      </c>
      <c r="N29" s="8" t="inlineStr">
        <is>
          <t>DE, SE</t>
        </is>
      </c>
      <c r="O29" s="8" t="inlineStr">
        <is>
          <t>3.2.1</t>
        </is>
      </c>
      <c r="P29" s="8" t="inlineStr"/>
      <c r="Q29" s="8" t="inlineStr"/>
      <c r="R29" s="8" t="inlineStr">
        <is>
          <t>Y</t>
        </is>
      </c>
      <c r="S29" s="10">
        <f>IF(R29="Y",H29,0)</f>
        <v/>
      </c>
    </row>
    <row r="30">
      <c r="A30" s="8" t="inlineStr">
        <is>
          <t>3.2.4</t>
        </is>
      </c>
      <c r="B30" s="8" t="n"/>
      <c r="C30" s="8" t="n"/>
      <c r="D30" s="8" t="inlineStr">
        <is>
          <t>Secret management and certificate automation (Vault / ACM)</t>
        </is>
      </c>
      <c r="E30" s="9" t="n">
        <v>2</v>
      </c>
      <c r="F30" s="9" t="n">
        <v>3</v>
      </c>
      <c r="G30" s="9" t="n">
        <v>5</v>
      </c>
      <c r="H30" s="10">
        <f>(E30+4*F30+G30)/6</f>
        <v/>
      </c>
      <c r="I30" s="9" t="n">
        <v>2</v>
      </c>
      <c r="J30" s="9" t="n">
        <v>3</v>
      </c>
      <c r="K30" s="9" t="n">
        <v>5</v>
      </c>
      <c r="L30" s="10">
        <f>(I30+4*J30+K30)/6</f>
        <v/>
      </c>
      <c r="M30" s="10">
        <f>(K30-I30)/6</f>
        <v/>
      </c>
      <c r="N30" s="8" t="inlineStr">
        <is>
          <t>SE</t>
        </is>
      </c>
      <c r="O30" s="8" t="inlineStr">
        <is>
          <t>3.1.1</t>
        </is>
      </c>
      <c r="P30" s="8" t="inlineStr">
        <is>
          <t>R07</t>
        </is>
      </c>
      <c r="Q30" s="8" t="inlineStr"/>
      <c r="R30" s="8" t="inlineStr">
        <is>
          <t>Y</t>
        </is>
      </c>
      <c r="S30" s="10">
        <f>IF(R30="Y",H30,0)</f>
        <v/>
      </c>
    </row>
    <row r="31">
      <c r="A31" s="2" t="inlineStr">
        <is>
          <t>4</t>
        </is>
      </c>
      <c r="B31" s="2" t="inlineStr">
        <is>
          <t>Migration Wave 1</t>
        </is>
      </c>
      <c r="C31" s="2" t="n"/>
      <c r="D31" s="2" t="n"/>
      <c r="E31" s="3">
        <f>SUM(E33,E34,E35,E37,E38,E39)</f>
        <v/>
      </c>
      <c r="F31" s="3">
        <f>SUM(F33,F34,F35,F37,F38,F39)</f>
        <v/>
      </c>
      <c r="G31" s="3">
        <f>SUM(G33,G34,G35,G37,G38,G39)</f>
        <v/>
      </c>
      <c r="H31" s="4">
        <f>(E31+4*F31+G31)/6</f>
        <v/>
      </c>
      <c r="I31" s="3">
        <f>SUM(I33,I34,I35,I37,I38,I39)</f>
        <v/>
      </c>
      <c r="J31" s="3">
        <f>SUM(J33,J34,J35,J37,J38,J39)</f>
        <v/>
      </c>
      <c r="K31" s="3">
        <f>SUM(K33,K34,K35,K37,K38,K39)</f>
        <v/>
      </c>
      <c r="L31" s="4">
        <f>(I31+4*J31+K31)/6</f>
        <v/>
      </c>
      <c r="M31" s="4">
        <f>(K31-I31)/6</f>
        <v/>
      </c>
      <c r="N31" s="2" t="n"/>
      <c r="O31" s="2" t="n"/>
      <c r="P31" s="2" t="n"/>
      <c r="Q31" s="2" t="n"/>
      <c r="R31" s="2" t="n"/>
      <c r="S31" s="4">
        <f>SUM(S33,S34,S35,S37,S38,S39)</f>
        <v/>
      </c>
    </row>
    <row r="32">
      <c r="A32" s="5" t="inlineStr">
        <is>
          <t>4.1</t>
        </is>
      </c>
      <c r="B32" s="5" t="n"/>
      <c r="C32" s="5" t="inlineStr">
        <is>
          <t>Wave 1 Execution</t>
        </is>
      </c>
      <c r="D32" s="5" t="n"/>
      <c r="E32" s="6">
        <f>SUM(E33:E35)</f>
        <v/>
      </c>
      <c r="F32" s="6">
        <f>SUM(F33:F35)</f>
        <v/>
      </c>
      <c r="G32" s="6">
        <f>SUM(G33:G35)</f>
        <v/>
      </c>
      <c r="H32" s="7">
        <f>(E32+4*F32+G32)/6</f>
        <v/>
      </c>
      <c r="I32" s="6">
        <f>SUM(I33:I35)</f>
        <v/>
      </c>
      <c r="J32" s="6">
        <f>SUM(J33:J35)</f>
        <v/>
      </c>
      <c r="K32" s="6">
        <f>SUM(K33:K35)</f>
        <v/>
      </c>
      <c r="L32" s="7">
        <f>(I32+4*J32+K32)/6</f>
        <v/>
      </c>
      <c r="M32" s="7">
        <f>(K32-I32)/6</f>
        <v/>
      </c>
      <c r="N32" s="5" t="n"/>
      <c r="O32" s="5" t="n"/>
      <c r="P32" s="5" t="n"/>
      <c r="Q32" s="5" t="n"/>
      <c r="R32" s="5" t="n"/>
      <c r="S32" s="7">
        <f>SUM(S33:S35)</f>
        <v/>
      </c>
    </row>
    <row r="33">
      <c r="A33" s="8" t="inlineStr">
        <is>
          <t>4.1.1</t>
        </is>
      </c>
      <c r="B33" s="8" t="n"/>
      <c r="C33" s="8" t="n"/>
      <c r="D33" s="8" t="inlineStr">
        <is>
          <t>Containerisation and refactoring — Wave 1 apps (4)</t>
        </is>
      </c>
      <c r="E33" s="9" t="n">
        <v>10</v>
      </c>
      <c r="F33" s="9" t="n">
        <v>16</v>
      </c>
      <c r="G33" s="9" t="n">
        <v>24</v>
      </c>
      <c r="H33" s="10">
        <f>(E33+4*F33+G33)/6</f>
        <v/>
      </c>
      <c r="I33" s="9" t="n">
        <v>10</v>
      </c>
      <c r="J33" s="9" t="n">
        <v>16</v>
      </c>
      <c r="K33" s="9" t="n">
        <v>24</v>
      </c>
      <c r="L33" s="10">
        <f>(I33+4*J33+K33)/6</f>
        <v/>
      </c>
      <c r="M33" s="10">
        <f>(K33-I33)/6</f>
        <v/>
      </c>
      <c r="N33" s="8" t="inlineStr">
        <is>
          <t>DEV, DE</t>
        </is>
      </c>
      <c r="O33" s="8" t="inlineStr">
        <is>
          <t>3.2.1, 3.2.2</t>
        </is>
      </c>
      <c r="P33" s="8" t="inlineStr">
        <is>
          <t>R04</t>
        </is>
      </c>
      <c r="Q33" s="8" t="inlineStr">
        <is>
          <t>Dockerfile, Helm charts, environment configuration</t>
        </is>
      </c>
      <c r="R33" s="8" t="inlineStr">
        <is>
          <t>Y</t>
        </is>
      </c>
      <c r="S33" s="10">
        <f>IF(R33="Y",H33,0)</f>
        <v/>
      </c>
    </row>
    <row r="34">
      <c r="A34" s="8" t="inlineStr">
        <is>
          <t>4.1.2</t>
        </is>
      </c>
      <c r="B34" s="8" t="n"/>
      <c r="C34" s="8" t="n"/>
      <c r="D34" s="8" t="inlineStr">
        <is>
          <t>Data migration — Wave 1 databases</t>
        </is>
      </c>
      <c r="E34" s="9" t="n">
        <v>5</v>
      </c>
      <c r="F34" s="9" t="n">
        <v>8</v>
      </c>
      <c r="G34" s="9" t="n">
        <v>14</v>
      </c>
      <c r="H34" s="10">
        <f>(E34+4*F34+G34)/6</f>
        <v/>
      </c>
      <c r="I34" s="9" t="n">
        <v>5</v>
      </c>
      <c r="J34" s="9" t="n">
        <v>8</v>
      </c>
      <c r="K34" s="9" t="n">
        <v>14</v>
      </c>
      <c r="L34" s="10">
        <f>(I34+4*J34+K34)/6</f>
        <v/>
      </c>
      <c r="M34" s="10">
        <f>(K34-I34)/6</f>
        <v/>
      </c>
      <c r="N34" s="8" t="inlineStr">
        <is>
          <t>DE, DEV</t>
        </is>
      </c>
      <c r="O34" s="8" t="inlineStr">
        <is>
          <t>4.1.1</t>
        </is>
      </c>
      <c r="P34" s="8" t="inlineStr">
        <is>
          <t>R03</t>
        </is>
      </c>
      <c r="Q34" s="8" t="inlineStr">
        <is>
          <t>Schema migration and data sync scripts</t>
        </is>
      </c>
      <c r="R34" s="8" t="inlineStr">
        <is>
          <t>Y</t>
        </is>
      </c>
      <c r="S34" s="10">
        <f>IF(R34="Y",H34,0)</f>
        <v/>
      </c>
    </row>
    <row r="35">
      <c r="A35" s="8" t="inlineStr">
        <is>
          <t>4.1.3</t>
        </is>
      </c>
      <c r="B35" s="8" t="n"/>
      <c r="C35" s="8" t="n"/>
      <c r="D35" s="8" t="inlineStr">
        <is>
          <t>Integration re-wiring and smoke tests — Wave 1</t>
        </is>
      </c>
      <c r="E35" s="9" t="n">
        <v>3</v>
      </c>
      <c r="F35" s="9" t="n">
        <v>5</v>
      </c>
      <c r="G35" s="9" t="n">
        <v>8</v>
      </c>
      <c r="H35" s="10">
        <f>(E35+4*F35+G35)/6</f>
        <v/>
      </c>
      <c r="I35" s="9" t="n">
        <v>3</v>
      </c>
      <c r="J35" s="9" t="n">
        <v>5</v>
      </c>
      <c r="K35" s="9" t="n">
        <v>8</v>
      </c>
      <c r="L35" s="10">
        <f>(I35+4*J35+K35)/6</f>
        <v/>
      </c>
      <c r="M35" s="10">
        <f>(K35-I35)/6</f>
        <v/>
      </c>
      <c r="N35" s="8" t="inlineStr">
        <is>
          <t>DEV, DE</t>
        </is>
      </c>
      <c r="O35" s="8" t="inlineStr">
        <is>
          <t>4.1.2</t>
        </is>
      </c>
      <c r="P35" s="8" t="inlineStr">
        <is>
          <t>R11</t>
        </is>
      </c>
      <c r="Q35" s="8" t="inlineStr"/>
      <c r="R35" s="8" t="inlineStr">
        <is>
          <t>Y</t>
        </is>
      </c>
      <c r="S35" s="10">
        <f>IF(R35="Y",H35,0)</f>
        <v/>
      </c>
    </row>
    <row r="36">
      <c r="A36" s="5" t="inlineStr">
        <is>
          <t>4.2</t>
        </is>
      </c>
      <c r="B36" s="5" t="n"/>
      <c r="C36" s="5" t="inlineStr">
        <is>
          <t>Wave 1 Validation</t>
        </is>
      </c>
      <c r="D36" s="5" t="n"/>
      <c r="E36" s="6">
        <f>SUM(E37:E39)</f>
        <v/>
      </c>
      <c r="F36" s="6">
        <f>SUM(F37:F39)</f>
        <v/>
      </c>
      <c r="G36" s="6">
        <f>SUM(G37:G39)</f>
        <v/>
      </c>
      <c r="H36" s="7">
        <f>(E36+4*F36+G36)/6</f>
        <v/>
      </c>
      <c r="I36" s="6">
        <f>SUM(I37:I39)</f>
        <v/>
      </c>
      <c r="J36" s="6">
        <f>SUM(J37:J39)</f>
        <v/>
      </c>
      <c r="K36" s="6">
        <f>SUM(K37:K39)</f>
        <v/>
      </c>
      <c r="L36" s="7">
        <f>(I36+4*J36+K36)/6</f>
        <v/>
      </c>
      <c r="M36" s="7">
        <f>(K36-I36)/6</f>
        <v/>
      </c>
      <c r="N36" s="5" t="n"/>
      <c r="O36" s="5" t="n"/>
      <c r="P36" s="5" t="n"/>
      <c r="Q36" s="5" t="n"/>
      <c r="R36" s="5" t="n"/>
      <c r="S36" s="7">
        <f>SUM(S37:S39)</f>
        <v/>
      </c>
    </row>
    <row r="37">
      <c r="A37" s="8" t="inlineStr">
        <is>
          <t>4.2.1</t>
        </is>
      </c>
      <c r="B37" s="8" t="n"/>
      <c r="C37" s="8" t="n"/>
      <c r="D37" s="8" t="inlineStr">
        <is>
          <t>Functional regression tests — Wave 1</t>
        </is>
      </c>
      <c r="E37" s="9" t="n">
        <v>4</v>
      </c>
      <c r="F37" s="9" t="n">
        <v>6</v>
      </c>
      <c r="G37" s="9" t="n">
        <v>10</v>
      </c>
      <c r="H37" s="10">
        <f>(E37+4*F37+G37)/6</f>
        <v/>
      </c>
      <c r="I37" s="9" t="n">
        <v>4</v>
      </c>
      <c r="J37" s="9" t="n">
        <v>6</v>
      </c>
      <c r="K37" s="9" t="n">
        <v>10</v>
      </c>
      <c r="L37" s="10">
        <f>(I37+4*J37+K37)/6</f>
        <v/>
      </c>
      <c r="M37" s="10">
        <f>(K37-I37)/6</f>
        <v/>
      </c>
      <c r="N37" s="8" t="inlineStr">
        <is>
          <t>DEV, PM</t>
        </is>
      </c>
      <c r="O37" s="8" t="inlineStr">
        <is>
          <t>4.1.3</t>
        </is>
      </c>
      <c r="P37" s="8" t="inlineStr"/>
      <c r="Q37" s="8" t="inlineStr"/>
      <c r="R37" s="8" t="inlineStr">
        <is>
          <t>Y</t>
        </is>
      </c>
      <c r="S37" s="10">
        <f>IF(R37="Y",H37,0)</f>
        <v/>
      </c>
    </row>
    <row r="38">
      <c r="A38" s="8" t="inlineStr">
        <is>
          <t>4.2.2</t>
        </is>
      </c>
      <c r="B38" s="8" t="n"/>
      <c r="C38" s="8" t="n"/>
      <c r="D38" s="8" t="inlineStr">
        <is>
          <t>Performance baseline comparison — Wave 1</t>
        </is>
      </c>
      <c r="E38" s="9" t="n">
        <v>2</v>
      </c>
      <c r="F38" s="9" t="n">
        <v>3</v>
      </c>
      <c r="G38" s="9" t="n">
        <v>5</v>
      </c>
      <c r="H38" s="10">
        <f>(E38+4*F38+G38)/6</f>
        <v/>
      </c>
      <c r="I38" s="9" t="n">
        <v>2</v>
      </c>
      <c r="J38" s="9" t="n">
        <v>3</v>
      </c>
      <c r="K38" s="9" t="n">
        <v>5</v>
      </c>
      <c r="L38" s="10">
        <f>(I38+4*J38+K38)/6</f>
        <v/>
      </c>
      <c r="M38" s="10">
        <f>(K38-I38)/6</f>
        <v/>
      </c>
      <c r="N38" s="8" t="inlineStr">
        <is>
          <t>DE, SE</t>
        </is>
      </c>
      <c r="O38" s="8" t="inlineStr">
        <is>
          <t>4.2.1</t>
        </is>
      </c>
      <c r="P38" s="8" t="inlineStr">
        <is>
          <t>R08</t>
        </is>
      </c>
      <c r="Q38" s="8" t="inlineStr"/>
      <c r="R38" s="8" t="inlineStr">
        <is>
          <t>Y</t>
        </is>
      </c>
      <c r="S38" s="10">
        <f>IF(R38="Y",H38,0)</f>
        <v/>
      </c>
    </row>
    <row r="39">
      <c r="A39" s="8" t="inlineStr">
        <is>
          <t>4.2.3</t>
        </is>
      </c>
      <c r="B39" s="8" t="n"/>
      <c r="C39" s="8" t="n"/>
      <c r="D39" s="8" t="inlineStr">
        <is>
          <t>Security scan and remediation — Wave 1</t>
        </is>
      </c>
      <c r="E39" s="9" t="n">
        <v>2</v>
      </c>
      <c r="F39" s="9" t="n">
        <v>4</v>
      </c>
      <c r="G39" s="9" t="n">
        <v>7</v>
      </c>
      <c r="H39" s="10">
        <f>(E39+4*F39+G39)/6</f>
        <v/>
      </c>
      <c r="I39" s="9" t="n">
        <v>2</v>
      </c>
      <c r="J39" s="9" t="n">
        <v>4</v>
      </c>
      <c r="K39" s="9" t="n">
        <v>7</v>
      </c>
      <c r="L39" s="10">
        <f>(I39+4*J39+K39)/6</f>
        <v/>
      </c>
      <c r="M39" s="10">
        <f>(K39-I39)/6</f>
        <v/>
      </c>
      <c r="N39" s="8" t="inlineStr">
        <is>
          <t>SE</t>
        </is>
      </c>
      <c r="O39" s="8" t="inlineStr">
        <is>
          <t>4.2.1</t>
        </is>
      </c>
      <c r="P39" s="8" t="inlineStr">
        <is>
          <t>R07</t>
        </is>
      </c>
      <c r="Q39" s="8" t="inlineStr">
        <is>
          <t>DAST/SAST scan + remediation cycle</t>
        </is>
      </c>
      <c r="R39" s="8" t="inlineStr">
        <is>
          <t>Y</t>
        </is>
      </c>
      <c r="S39" s="10">
        <f>IF(R39="Y",H39,0)</f>
        <v/>
      </c>
    </row>
    <row r="40">
      <c r="A40" s="2" t="inlineStr">
        <is>
          <t>5</t>
        </is>
      </c>
      <c r="B40" s="2" t="inlineStr">
        <is>
          <t>Migration Wave 2</t>
        </is>
      </c>
      <c r="C40" s="2" t="n"/>
      <c r="D40" s="2" t="n"/>
      <c r="E40" s="3">
        <f>SUM(E42,E43,E44,E46,E47,E48)</f>
        <v/>
      </c>
      <c r="F40" s="3">
        <f>SUM(F42,F43,F44,F46,F47,F48)</f>
        <v/>
      </c>
      <c r="G40" s="3">
        <f>SUM(G42,G43,G44,G46,G47,G48)</f>
        <v/>
      </c>
      <c r="H40" s="4">
        <f>(E40+4*F40+G40)/6</f>
        <v/>
      </c>
      <c r="I40" s="3">
        <f>SUM(I42,I43,I44,I46,I47,I48)</f>
        <v/>
      </c>
      <c r="J40" s="3">
        <f>SUM(J42,J43,J44,J46,J47,J48)</f>
        <v/>
      </c>
      <c r="K40" s="3">
        <f>SUM(K42,K43,K44,K46,K47,K48)</f>
        <v/>
      </c>
      <c r="L40" s="4">
        <f>(I40+4*J40+K40)/6</f>
        <v/>
      </c>
      <c r="M40" s="4">
        <f>(K40-I40)/6</f>
        <v/>
      </c>
      <c r="N40" s="2" t="n"/>
      <c r="O40" s="2" t="n"/>
      <c r="P40" s="2" t="n"/>
      <c r="Q40" s="2" t="n"/>
      <c r="R40" s="2" t="n"/>
      <c r="S40" s="4">
        <f>SUM(S42,S43,S44,S46,S47,S48)</f>
        <v/>
      </c>
    </row>
    <row r="41">
      <c r="A41" s="5" t="inlineStr">
        <is>
          <t>5.1</t>
        </is>
      </c>
      <c r="B41" s="5" t="n"/>
      <c r="C41" s="5" t="inlineStr">
        <is>
          <t>Wave 2 Execution</t>
        </is>
      </c>
      <c r="D41" s="5" t="n"/>
      <c r="E41" s="6">
        <f>SUM(E42:E44)</f>
        <v/>
      </c>
      <c r="F41" s="6">
        <f>SUM(F42:F44)</f>
        <v/>
      </c>
      <c r="G41" s="6">
        <f>SUM(G42:G44)</f>
        <v/>
      </c>
      <c r="H41" s="7">
        <f>(E41+4*F41+G41)/6</f>
        <v/>
      </c>
      <c r="I41" s="6">
        <f>SUM(I42:I44)</f>
        <v/>
      </c>
      <c r="J41" s="6">
        <f>SUM(J42:J44)</f>
        <v/>
      </c>
      <c r="K41" s="6">
        <f>SUM(K42:K44)</f>
        <v/>
      </c>
      <c r="L41" s="7">
        <f>(I41+4*J41+K41)/6</f>
        <v/>
      </c>
      <c r="M41" s="7">
        <f>(K41-I41)/6</f>
        <v/>
      </c>
      <c r="N41" s="5" t="n"/>
      <c r="O41" s="5" t="n"/>
      <c r="P41" s="5" t="n"/>
      <c r="Q41" s="5" t="n"/>
      <c r="R41" s="5" t="n"/>
      <c r="S41" s="7">
        <f>SUM(S42:S44)</f>
        <v/>
      </c>
    </row>
    <row r="42">
      <c r="A42" s="8" t="inlineStr">
        <is>
          <t>5.1.1</t>
        </is>
      </c>
      <c r="B42" s="8" t="n"/>
      <c r="C42" s="8" t="n"/>
      <c r="D42" s="8" t="inlineStr">
        <is>
          <t>Containerisation and refactoring — Wave 2 apps (4)</t>
        </is>
      </c>
      <c r="E42" s="9" t="n">
        <v>14</v>
      </c>
      <c r="F42" s="9" t="n">
        <v>20</v>
      </c>
      <c r="G42" s="9" t="n">
        <v>30</v>
      </c>
      <c r="H42" s="10">
        <f>(E42+4*F42+G42)/6</f>
        <v/>
      </c>
      <c r="I42" s="9" t="n">
        <v>14</v>
      </c>
      <c r="J42" s="9" t="n">
        <v>20</v>
      </c>
      <c r="K42" s="9" t="n">
        <v>30</v>
      </c>
      <c r="L42" s="10">
        <f>(I42+4*J42+K42)/6</f>
        <v/>
      </c>
      <c r="M42" s="10">
        <f>(K42-I42)/6</f>
        <v/>
      </c>
      <c r="N42" s="8" t="inlineStr">
        <is>
          <t>DEV, DE</t>
        </is>
      </c>
      <c r="O42" s="8" t="inlineStr">
        <is>
          <t>4.2.3, 3.2.2</t>
        </is>
      </c>
      <c r="P42" s="8" t="inlineStr">
        <is>
          <t>R04, R10</t>
        </is>
      </c>
      <c r="Q42" s="8" t="inlineStr">
        <is>
          <t>Higher complexity apps with more dependencies</t>
        </is>
      </c>
      <c r="R42" s="8" t="inlineStr">
        <is>
          <t>Y</t>
        </is>
      </c>
      <c r="S42" s="10">
        <f>IF(R42="Y",H42,0)</f>
        <v/>
      </c>
    </row>
    <row r="43">
      <c r="A43" s="8" t="inlineStr">
        <is>
          <t>5.1.2</t>
        </is>
      </c>
      <c r="B43" s="8" t="n"/>
      <c r="C43" s="8" t="n"/>
      <c r="D43" s="8" t="inlineStr">
        <is>
          <t>Data migration — Wave 2 databases</t>
        </is>
      </c>
      <c r="E43" s="9" t="n">
        <v>6</v>
      </c>
      <c r="F43" s="9" t="n">
        <v>10</v>
      </c>
      <c r="G43" s="9" t="n">
        <v>16</v>
      </c>
      <c r="H43" s="10">
        <f>(E43+4*F43+G43)/6</f>
        <v/>
      </c>
      <c r="I43" s="9" t="n">
        <v>6</v>
      </c>
      <c r="J43" s="9" t="n">
        <v>10</v>
      </c>
      <c r="K43" s="9" t="n">
        <v>16</v>
      </c>
      <c r="L43" s="10">
        <f>(I43+4*J43+K43)/6</f>
        <v/>
      </c>
      <c r="M43" s="10">
        <f>(K43-I43)/6</f>
        <v/>
      </c>
      <c r="N43" s="8" t="inlineStr">
        <is>
          <t>DE, DEV</t>
        </is>
      </c>
      <c r="O43" s="8" t="inlineStr">
        <is>
          <t>5.1.1</t>
        </is>
      </c>
      <c r="P43" s="8" t="inlineStr">
        <is>
          <t>R03</t>
        </is>
      </c>
      <c r="Q43" s="8" t="inlineStr">
        <is>
          <t>Larger data volumes than Wave 1</t>
        </is>
      </c>
      <c r="R43" s="8" t="inlineStr">
        <is>
          <t>Y</t>
        </is>
      </c>
      <c r="S43" s="10">
        <f>IF(R43="Y",H43,0)</f>
        <v/>
      </c>
    </row>
    <row r="44">
      <c r="A44" s="8" t="inlineStr">
        <is>
          <t>5.1.3</t>
        </is>
      </c>
      <c r="B44" s="8" t="n"/>
      <c r="C44" s="8" t="n"/>
      <c r="D44" s="8" t="inlineStr">
        <is>
          <t>Integration re-wiring and smoke tests — Wave 2</t>
        </is>
      </c>
      <c r="E44" s="9" t="n">
        <v>4</v>
      </c>
      <c r="F44" s="9" t="n">
        <v>6</v>
      </c>
      <c r="G44" s="9" t="n">
        <v>10</v>
      </c>
      <c r="H44" s="10">
        <f>(E44+4*F44+G44)/6</f>
        <v/>
      </c>
      <c r="I44" s="9" t="n">
        <v>4</v>
      </c>
      <c r="J44" s="9" t="n">
        <v>6</v>
      </c>
      <c r="K44" s="9" t="n">
        <v>10</v>
      </c>
      <c r="L44" s="10">
        <f>(I44+4*J44+K44)/6</f>
        <v/>
      </c>
      <c r="M44" s="10">
        <f>(K44-I44)/6</f>
        <v/>
      </c>
      <c r="N44" s="8" t="inlineStr">
        <is>
          <t>DEV, DE</t>
        </is>
      </c>
      <c r="O44" s="8" t="inlineStr">
        <is>
          <t>5.1.2</t>
        </is>
      </c>
      <c r="P44" s="8" t="inlineStr">
        <is>
          <t>R11</t>
        </is>
      </c>
      <c r="Q44" s="8" t="inlineStr"/>
      <c r="R44" s="8" t="inlineStr">
        <is>
          <t>Y</t>
        </is>
      </c>
      <c r="S44" s="10">
        <f>IF(R44="Y",H44,0)</f>
        <v/>
      </c>
    </row>
    <row r="45">
      <c r="A45" s="5" t="inlineStr">
        <is>
          <t>5.2</t>
        </is>
      </c>
      <c r="B45" s="5" t="n"/>
      <c r="C45" s="5" t="inlineStr">
        <is>
          <t>Wave 2 Validation</t>
        </is>
      </c>
      <c r="D45" s="5" t="n"/>
      <c r="E45" s="6">
        <f>SUM(E46:E48)</f>
        <v/>
      </c>
      <c r="F45" s="6">
        <f>SUM(F46:F48)</f>
        <v/>
      </c>
      <c r="G45" s="6">
        <f>SUM(G46:G48)</f>
        <v/>
      </c>
      <c r="H45" s="7">
        <f>(E45+4*F45+G45)/6</f>
        <v/>
      </c>
      <c r="I45" s="6">
        <f>SUM(I46:I48)</f>
        <v/>
      </c>
      <c r="J45" s="6">
        <f>SUM(J46:J48)</f>
        <v/>
      </c>
      <c r="K45" s="6">
        <f>SUM(K46:K48)</f>
        <v/>
      </c>
      <c r="L45" s="7">
        <f>(I45+4*J45+K45)/6</f>
        <v/>
      </c>
      <c r="M45" s="7">
        <f>(K45-I45)/6</f>
        <v/>
      </c>
      <c r="N45" s="5" t="n"/>
      <c r="O45" s="5" t="n"/>
      <c r="P45" s="5" t="n"/>
      <c r="Q45" s="5" t="n"/>
      <c r="R45" s="5" t="n"/>
      <c r="S45" s="7">
        <f>SUM(S46:S48)</f>
        <v/>
      </c>
    </row>
    <row r="46">
      <c r="A46" s="8" t="inlineStr">
        <is>
          <t>5.2.1</t>
        </is>
      </c>
      <c r="B46" s="8" t="n"/>
      <c r="C46" s="8" t="n"/>
      <c r="D46" s="8" t="inlineStr">
        <is>
          <t>Functional regression tests — Wave 2</t>
        </is>
      </c>
      <c r="E46" s="9" t="n">
        <v>5</v>
      </c>
      <c r="F46" s="9" t="n">
        <v>8</v>
      </c>
      <c r="G46" s="9" t="n">
        <v>12</v>
      </c>
      <c r="H46" s="10">
        <f>(E46+4*F46+G46)/6</f>
        <v/>
      </c>
      <c r="I46" s="9" t="n">
        <v>5</v>
      </c>
      <c r="J46" s="9" t="n">
        <v>8</v>
      </c>
      <c r="K46" s="9" t="n">
        <v>12</v>
      </c>
      <c r="L46" s="10">
        <f>(I46+4*J46+K46)/6</f>
        <v/>
      </c>
      <c r="M46" s="10">
        <f>(K46-I46)/6</f>
        <v/>
      </c>
      <c r="N46" s="8" t="inlineStr">
        <is>
          <t>DEV, PM</t>
        </is>
      </c>
      <c r="O46" s="8" t="inlineStr">
        <is>
          <t>5.1.3</t>
        </is>
      </c>
      <c r="P46" s="8" t="inlineStr">
        <is>
          <t>R15</t>
        </is>
      </c>
      <c r="Q46" s="8" t="inlineStr"/>
      <c r="R46" s="8" t="inlineStr">
        <is>
          <t>Y</t>
        </is>
      </c>
      <c r="S46" s="10">
        <f>IF(R46="Y",H46,0)</f>
        <v/>
      </c>
    </row>
    <row r="47">
      <c r="A47" s="8" t="inlineStr">
        <is>
          <t>5.2.2</t>
        </is>
      </c>
      <c r="B47" s="8" t="n"/>
      <c r="C47" s="8" t="n"/>
      <c r="D47" s="8" t="inlineStr">
        <is>
          <t>Performance and load testing — Wave 2</t>
        </is>
      </c>
      <c r="E47" s="9" t="n">
        <v>3</v>
      </c>
      <c r="F47" s="9" t="n">
        <v>5</v>
      </c>
      <c r="G47" s="9" t="n">
        <v>8</v>
      </c>
      <c r="H47" s="10">
        <f>(E47+4*F47+G47)/6</f>
        <v/>
      </c>
      <c r="I47" s="9" t="n">
        <v>3</v>
      </c>
      <c r="J47" s="9" t="n">
        <v>5</v>
      </c>
      <c r="K47" s="9" t="n">
        <v>8</v>
      </c>
      <c r="L47" s="10">
        <f>(I47+4*J47+K47)/6</f>
        <v/>
      </c>
      <c r="M47" s="10">
        <f>(K47-I47)/6</f>
        <v/>
      </c>
      <c r="N47" s="8" t="inlineStr">
        <is>
          <t>DE, SE</t>
        </is>
      </c>
      <c r="O47" s="8" t="inlineStr">
        <is>
          <t>5.2.1</t>
        </is>
      </c>
      <c r="P47" s="8" t="inlineStr">
        <is>
          <t>R08</t>
        </is>
      </c>
      <c r="Q47" s="8" t="inlineStr"/>
      <c r="R47" s="8" t="inlineStr">
        <is>
          <t>Y</t>
        </is>
      </c>
      <c r="S47" s="10">
        <f>IF(R47="Y",H47,0)</f>
        <v/>
      </c>
    </row>
    <row r="48">
      <c r="A48" s="8" t="inlineStr">
        <is>
          <t>5.2.3</t>
        </is>
      </c>
      <c r="B48" s="8" t="n"/>
      <c r="C48" s="8" t="n"/>
      <c r="D48" s="8" t="inlineStr">
        <is>
          <t>Security hardening review — Wave 2</t>
        </is>
      </c>
      <c r="E48" s="9" t="n">
        <v>3</v>
      </c>
      <c r="F48" s="9" t="n">
        <v>5</v>
      </c>
      <c r="G48" s="9" t="n">
        <v>8</v>
      </c>
      <c r="H48" s="10">
        <f>(E48+4*F48+G48)/6</f>
        <v/>
      </c>
      <c r="I48" s="9" t="n">
        <v>3</v>
      </c>
      <c r="J48" s="9" t="n">
        <v>5</v>
      </c>
      <c r="K48" s="9" t="n">
        <v>8</v>
      </c>
      <c r="L48" s="10">
        <f>(I48+4*J48+K48)/6</f>
        <v/>
      </c>
      <c r="M48" s="10">
        <f>(K48-I48)/6</f>
        <v/>
      </c>
      <c r="N48" s="8" t="inlineStr">
        <is>
          <t>SE</t>
        </is>
      </c>
      <c r="O48" s="8" t="inlineStr">
        <is>
          <t>5.2.1</t>
        </is>
      </c>
      <c r="P48" s="8" t="inlineStr">
        <is>
          <t>R07</t>
        </is>
      </c>
      <c r="Q48" s="8" t="inlineStr"/>
      <c r="R48" s="8" t="inlineStr">
        <is>
          <t>Y</t>
        </is>
      </c>
      <c r="S48" s="10">
        <f>IF(R48="Y",H48,0)</f>
        <v/>
      </c>
    </row>
    <row r="49">
      <c r="A49" s="2" t="inlineStr">
        <is>
          <t>6</t>
        </is>
      </c>
      <c r="B49" s="2" t="inlineStr">
        <is>
          <t>Migration Wave 3</t>
        </is>
      </c>
      <c r="C49" s="2" t="n"/>
      <c r="D49" s="2" t="n"/>
      <c r="E49" s="3">
        <f>SUM(E51,E52,E53,E55,E56,E57)</f>
        <v/>
      </c>
      <c r="F49" s="3">
        <f>SUM(F51,F52,F53,F55,F56,F57)</f>
        <v/>
      </c>
      <c r="G49" s="3">
        <f>SUM(G51,G52,G53,G55,G56,G57)</f>
        <v/>
      </c>
      <c r="H49" s="4">
        <f>(E49+4*F49+G49)/6</f>
        <v/>
      </c>
      <c r="I49" s="3">
        <f>SUM(I51,I52,I53,I55,I56,I57)</f>
        <v/>
      </c>
      <c r="J49" s="3">
        <f>SUM(J51,J52,J53,J55,J56,J57)</f>
        <v/>
      </c>
      <c r="K49" s="3">
        <f>SUM(K51,K52,K53,K55,K56,K57)</f>
        <v/>
      </c>
      <c r="L49" s="4">
        <f>(I49+4*J49+K49)/6</f>
        <v/>
      </c>
      <c r="M49" s="4">
        <f>(K49-I49)/6</f>
        <v/>
      </c>
      <c r="N49" s="2" t="n"/>
      <c r="O49" s="2" t="n"/>
      <c r="P49" s="2" t="n"/>
      <c r="Q49" s="2" t="n"/>
      <c r="R49" s="2" t="n"/>
      <c r="S49" s="4">
        <f>SUM(S51,S52,S53,S55,S56,S57)</f>
        <v/>
      </c>
    </row>
    <row r="50">
      <c r="A50" s="5" t="inlineStr">
        <is>
          <t>6.1</t>
        </is>
      </c>
      <c r="B50" s="5" t="n"/>
      <c r="C50" s="5" t="inlineStr">
        <is>
          <t>Wave 3 Execution</t>
        </is>
      </c>
      <c r="D50" s="5" t="n"/>
      <c r="E50" s="6">
        <f>SUM(E51:E53)</f>
        <v/>
      </c>
      <c r="F50" s="6">
        <f>SUM(F51:F53)</f>
        <v/>
      </c>
      <c r="G50" s="6">
        <f>SUM(G51:G53)</f>
        <v/>
      </c>
      <c r="H50" s="7">
        <f>(E50+4*F50+G50)/6</f>
        <v/>
      </c>
      <c r="I50" s="6">
        <f>SUM(I51:I53)</f>
        <v/>
      </c>
      <c r="J50" s="6">
        <f>SUM(J51:J53)</f>
        <v/>
      </c>
      <c r="K50" s="6">
        <f>SUM(K51:K53)</f>
        <v/>
      </c>
      <c r="L50" s="7">
        <f>(I50+4*J50+K50)/6</f>
        <v/>
      </c>
      <c r="M50" s="7">
        <f>(K50-I50)/6</f>
        <v/>
      </c>
      <c r="N50" s="5" t="n"/>
      <c r="O50" s="5" t="n"/>
      <c r="P50" s="5" t="n"/>
      <c r="Q50" s="5" t="n"/>
      <c r="R50" s="5" t="n"/>
      <c r="S50" s="7">
        <f>SUM(S51:S53)</f>
        <v/>
      </c>
    </row>
    <row r="51">
      <c r="A51" s="8" t="inlineStr">
        <is>
          <t>6.1.1</t>
        </is>
      </c>
      <c r="B51" s="8" t="n"/>
      <c r="C51" s="8" t="n"/>
      <c r="D51" s="8" t="inlineStr">
        <is>
          <t>Legacy modernisation and containerisation — Wave 3 apps (4)</t>
        </is>
      </c>
      <c r="E51" s="9" t="n">
        <v>18</v>
      </c>
      <c r="F51" s="9" t="n">
        <v>28</v>
      </c>
      <c r="G51" s="9" t="n">
        <v>42</v>
      </c>
      <c r="H51" s="10">
        <f>(E51+4*F51+G51)/6</f>
        <v/>
      </c>
      <c r="I51" s="9" t="n">
        <v>18</v>
      </c>
      <c r="J51" s="9" t="n">
        <v>28</v>
      </c>
      <c r="K51" s="9" t="n">
        <v>42</v>
      </c>
      <c r="L51" s="10">
        <f>(I51+4*J51+K51)/6</f>
        <v/>
      </c>
      <c r="M51" s="10">
        <f>(K51-I51)/6</f>
        <v/>
      </c>
      <c r="N51" s="8" t="inlineStr">
        <is>
          <t>DEV, CA, DE</t>
        </is>
      </c>
      <c r="O51" s="8" t="inlineStr">
        <is>
          <t>5.2.3, 3.2.2</t>
        </is>
      </c>
      <c r="P51" s="8" t="inlineStr">
        <is>
          <t>R04, R10</t>
        </is>
      </c>
      <c r="Q51" s="8" t="inlineStr">
        <is>
          <t>Includes rewriting legacy monolith components as microservices</t>
        </is>
      </c>
      <c r="R51" s="8" t="inlineStr">
        <is>
          <t>Y</t>
        </is>
      </c>
      <c r="S51" s="10">
        <f>IF(R51="Y",H51,0)</f>
        <v/>
      </c>
    </row>
    <row r="52">
      <c r="A52" s="8" t="inlineStr">
        <is>
          <t>6.1.2</t>
        </is>
      </c>
      <c r="B52" s="8" t="n"/>
      <c r="C52" s="8" t="n"/>
      <c r="D52" s="8" t="inlineStr">
        <is>
          <t>Data migration — Wave 3 (large volumes, replication lag management)</t>
        </is>
      </c>
      <c r="E52" s="9" t="n">
        <v>8</v>
      </c>
      <c r="F52" s="9" t="n">
        <v>14</v>
      </c>
      <c r="G52" s="9" t="n">
        <v>22</v>
      </c>
      <c r="H52" s="10">
        <f>(E52+4*F52+G52)/6</f>
        <v/>
      </c>
      <c r="I52" s="9" t="n">
        <v>8</v>
      </c>
      <c r="J52" s="9" t="n">
        <v>14</v>
      </c>
      <c r="K52" s="9" t="n">
        <v>22</v>
      </c>
      <c r="L52" s="10">
        <f>(I52+4*J52+K52)/6</f>
        <v/>
      </c>
      <c r="M52" s="10">
        <f>(K52-I52)/6</f>
        <v/>
      </c>
      <c r="N52" s="8" t="inlineStr">
        <is>
          <t>DE, DEV</t>
        </is>
      </c>
      <c r="O52" s="8" t="inlineStr">
        <is>
          <t>6.1.1</t>
        </is>
      </c>
      <c r="P52" s="8" t="inlineStr">
        <is>
          <t>R03, R13</t>
        </is>
      </c>
      <c r="Q52" s="8" t="inlineStr">
        <is>
          <t>Near-zero-downtime migration using CDC / log shipping</t>
        </is>
      </c>
      <c r="R52" s="8" t="inlineStr">
        <is>
          <t>Y</t>
        </is>
      </c>
      <c r="S52" s="10">
        <f>IF(R52="Y",H52,0)</f>
        <v/>
      </c>
    </row>
    <row r="53">
      <c r="A53" s="8" t="inlineStr">
        <is>
          <t>6.1.3</t>
        </is>
      </c>
      <c r="B53" s="8" t="n"/>
      <c r="C53" s="8" t="n"/>
      <c r="D53" s="8" t="inlineStr">
        <is>
          <t>Integration re-wiring, API gateway config and smoke tests — Wave 3</t>
        </is>
      </c>
      <c r="E53" s="9" t="n">
        <v>5</v>
      </c>
      <c r="F53" s="9" t="n">
        <v>8</v>
      </c>
      <c r="G53" s="9" t="n">
        <v>13</v>
      </c>
      <c r="H53" s="10">
        <f>(E53+4*F53+G53)/6</f>
        <v/>
      </c>
      <c r="I53" s="9" t="n">
        <v>5</v>
      </c>
      <c r="J53" s="9" t="n">
        <v>8</v>
      </c>
      <c r="K53" s="9" t="n">
        <v>13</v>
      </c>
      <c r="L53" s="10">
        <f>(I53+4*J53+K53)/6</f>
        <v/>
      </c>
      <c r="M53" s="10">
        <f>(K53-I53)/6</f>
        <v/>
      </c>
      <c r="N53" s="8" t="inlineStr">
        <is>
          <t>DEV, CA, DE</t>
        </is>
      </c>
      <c r="O53" s="8" t="inlineStr">
        <is>
          <t>6.1.2</t>
        </is>
      </c>
      <c r="P53" s="8" t="inlineStr">
        <is>
          <t>R11</t>
        </is>
      </c>
      <c r="Q53" s="8" t="inlineStr"/>
      <c r="R53" s="8" t="inlineStr">
        <is>
          <t>Y</t>
        </is>
      </c>
      <c r="S53" s="10">
        <f>IF(R53="Y",H53,0)</f>
        <v/>
      </c>
    </row>
    <row r="54">
      <c r="A54" s="5" t="inlineStr">
        <is>
          <t>6.2</t>
        </is>
      </c>
      <c r="B54" s="5" t="n"/>
      <c r="C54" s="5" t="inlineStr">
        <is>
          <t>Wave 3 Validation</t>
        </is>
      </c>
      <c r="D54" s="5" t="n"/>
      <c r="E54" s="6">
        <f>SUM(E55:E57)</f>
        <v/>
      </c>
      <c r="F54" s="6">
        <f>SUM(F55:F57)</f>
        <v/>
      </c>
      <c r="G54" s="6">
        <f>SUM(G55:G57)</f>
        <v/>
      </c>
      <c r="H54" s="7">
        <f>(E54+4*F54+G54)/6</f>
        <v/>
      </c>
      <c r="I54" s="6">
        <f>SUM(I55:I57)</f>
        <v/>
      </c>
      <c r="J54" s="6">
        <f>SUM(J55:J57)</f>
        <v/>
      </c>
      <c r="K54" s="6">
        <f>SUM(K55:K57)</f>
        <v/>
      </c>
      <c r="L54" s="7">
        <f>(I54+4*J54+K54)/6</f>
        <v/>
      </c>
      <c r="M54" s="7">
        <f>(K54-I54)/6</f>
        <v/>
      </c>
      <c r="N54" s="5" t="n"/>
      <c r="O54" s="5" t="n"/>
      <c r="P54" s="5" t="n"/>
      <c r="Q54" s="5" t="n"/>
      <c r="R54" s="5" t="n"/>
      <c r="S54" s="7">
        <f>SUM(S55:S57)</f>
        <v/>
      </c>
    </row>
    <row r="55">
      <c r="A55" s="8" t="inlineStr">
        <is>
          <t>6.2.1</t>
        </is>
      </c>
      <c r="B55" s="8" t="n"/>
      <c r="C55" s="8" t="n"/>
      <c r="D55" s="8" t="inlineStr">
        <is>
          <t>Full regression suite — Wave 3</t>
        </is>
      </c>
      <c r="E55" s="9" t="n">
        <v>6</v>
      </c>
      <c r="F55" s="9" t="n">
        <v>10</v>
      </c>
      <c r="G55" s="9" t="n">
        <v>16</v>
      </c>
      <c r="H55" s="10">
        <f>(E55+4*F55+G55)/6</f>
        <v/>
      </c>
      <c r="I55" s="9" t="n">
        <v>6</v>
      </c>
      <c r="J55" s="9" t="n">
        <v>10</v>
      </c>
      <c r="K55" s="9" t="n">
        <v>16</v>
      </c>
      <c r="L55" s="10">
        <f>(I55+4*J55+K55)/6</f>
        <v/>
      </c>
      <c r="M55" s="10">
        <f>(K55-I55)/6</f>
        <v/>
      </c>
      <c r="N55" s="8" t="inlineStr">
        <is>
          <t>DEV, PM</t>
        </is>
      </c>
      <c r="O55" s="8" t="inlineStr">
        <is>
          <t>6.1.3</t>
        </is>
      </c>
      <c r="P55" s="8" t="inlineStr">
        <is>
          <t>R15</t>
        </is>
      </c>
      <c r="Q55" s="8" t="inlineStr"/>
      <c r="R55" s="8" t="inlineStr">
        <is>
          <t>Y</t>
        </is>
      </c>
      <c r="S55" s="10">
        <f>IF(R55="Y",H55,0)</f>
        <v/>
      </c>
    </row>
    <row r="56">
      <c r="A56" s="8" t="inlineStr">
        <is>
          <t>6.2.2</t>
        </is>
      </c>
      <c r="B56" s="8" t="n"/>
      <c r="C56" s="8" t="n"/>
      <c r="D56" s="8" t="inlineStr">
        <is>
          <t>End-to-end cross-wave integration testing</t>
        </is>
      </c>
      <c r="E56" s="9" t="n">
        <v>5</v>
      </c>
      <c r="F56" s="9" t="n">
        <v>8</v>
      </c>
      <c r="G56" s="9" t="n">
        <v>14</v>
      </c>
      <c r="H56" s="10">
        <f>(E56+4*F56+G56)/6</f>
        <v/>
      </c>
      <c r="I56" s="9" t="n">
        <v>5</v>
      </c>
      <c r="J56" s="9" t="n">
        <v>8</v>
      </c>
      <c r="K56" s="9" t="n">
        <v>14</v>
      </c>
      <c r="L56" s="10">
        <f>(I56+4*J56+K56)/6</f>
        <v/>
      </c>
      <c r="M56" s="10">
        <f>(K56-I56)/6</f>
        <v/>
      </c>
      <c r="N56" s="8" t="inlineStr">
        <is>
          <t>CA, DEV, DE</t>
        </is>
      </c>
      <c r="O56" s="8" t="inlineStr">
        <is>
          <t>6.2.1</t>
        </is>
      </c>
      <c r="P56" s="8" t="inlineStr">
        <is>
          <t>R11</t>
        </is>
      </c>
      <c r="Q56" s="8" t="inlineStr">
        <is>
          <t>Verifies all 12 migrated apps interact correctly</t>
        </is>
      </c>
      <c r="R56" s="8" t="inlineStr">
        <is>
          <t>Y</t>
        </is>
      </c>
      <c r="S56" s="10">
        <f>IF(R56="Y",H56,0)</f>
        <v/>
      </c>
    </row>
    <row r="57">
      <c r="A57" s="8" t="inlineStr">
        <is>
          <t>6.2.3</t>
        </is>
      </c>
      <c r="B57" s="8" t="n"/>
      <c r="C57" s="8" t="n"/>
      <c r="D57" s="8" t="inlineStr">
        <is>
          <t>Security penetration testing</t>
        </is>
      </c>
      <c r="E57" s="9" t="n">
        <v>4</v>
      </c>
      <c r="F57" s="9" t="n">
        <v>6</v>
      </c>
      <c r="G57" s="9" t="n">
        <v>10</v>
      </c>
      <c r="H57" s="10">
        <f>(E57+4*F57+G57)/6</f>
        <v/>
      </c>
      <c r="I57" s="9" t="n">
        <v>4</v>
      </c>
      <c r="J57" s="9" t="n">
        <v>6</v>
      </c>
      <c r="K57" s="9" t="n">
        <v>10</v>
      </c>
      <c r="L57" s="10">
        <f>(I57+4*J57+K57)/6</f>
        <v/>
      </c>
      <c r="M57" s="10">
        <f>(K57-I57)/6</f>
        <v/>
      </c>
      <c r="N57" s="8" t="inlineStr">
        <is>
          <t>SE</t>
        </is>
      </c>
      <c r="O57" s="8" t="inlineStr">
        <is>
          <t>6.2.1</t>
        </is>
      </c>
      <c r="P57" s="8" t="inlineStr">
        <is>
          <t>R07</t>
        </is>
      </c>
      <c r="Q57" s="8" t="inlineStr">
        <is>
          <t>External pen test plus internal remediation</t>
        </is>
      </c>
      <c r="R57" s="8" t="inlineStr">
        <is>
          <t>Y</t>
        </is>
      </c>
      <c r="S57" s="10">
        <f>IF(R57="Y",H57,0)</f>
        <v/>
      </c>
    </row>
    <row r="58">
      <c r="A58" s="2" t="inlineStr">
        <is>
          <t>7</t>
        </is>
      </c>
      <c r="B58" s="2" t="inlineStr">
        <is>
          <t>Testing, Validation &amp; Cutover</t>
        </is>
      </c>
      <c r="C58" s="2" t="n"/>
      <c r="D58" s="2" t="n"/>
      <c r="E58" s="3">
        <f>SUM(E60,E61,E63,E64,E65,E66)</f>
        <v/>
      </c>
      <c r="F58" s="3">
        <f>SUM(F60,F61,F63,F64,F65,F66)</f>
        <v/>
      </c>
      <c r="G58" s="3">
        <f>SUM(G60,G61,G63,G64,G65,G66)</f>
        <v/>
      </c>
      <c r="H58" s="4">
        <f>(E58+4*F58+G58)/6</f>
        <v/>
      </c>
      <c r="I58" s="3">
        <f>SUM(I60,I61,I63,I64,I65,I66)</f>
        <v/>
      </c>
      <c r="J58" s="3">
        <f>SUM(J60,J61,J63,J64,J65,J66)</f>
        <v/>
      </c>
      <c r="K58" s="3">
        <f>SUM(K60,K61,K63,K64,K65,K66)</f>
        <v/>
      </c>
      <c r="L58" s="4">
        <f>(I58+4*J58+K58)/6</f>
        <v/>
      </c>
      <c r="M58" s="4">
        <f>(K58-I58)/6</f>
        <v/>
      </c>
      <c r="N58" s="2" t="n"/>
      <c r="O58" s="2" t="n"/>
      <c r="P58" s="2" t="n"/>
      <c r="Q58" s="2" t="n"/>
      <c r="R58" s="2" t="n"/>
      <c r="S58" s="4">
        <f>SUM(S60,S61,S63,S64,S65,S66)</f>
        <v/>
      </c>
    </row>
    <row r="59">
      <c r="A59" s="5" t="inlineStr">
        <is>
          <t>7.1</t>
        </is>
      </c>
      <c r="B59" s="5" t="n"/>
      <c r="C59" s="5" t="inlineStr">
        <is>
          <t>Non-Functional Testing</t>
        </is>
      </c>
      <c r="D59" s="5" t="n"/>
      <c r="E59" s="6">
        <f>SUM(E60:E61)</f>
        <v/>
      </c>
      <c r="F59" s="6">
        <f>SUM(F60:F61)</f>
        <v/>
      </c>
      <c r="G59" s="6">
        <f>SUM(G60:G61)</f>
        <v/>
      </c>
      <c r="H59" s="7">
        <f>(E59+4*F59+G59)/6</f>
        <v/>
      </c>
      <c r="I59" s="6">
        <f>SUM(I60:I61)</f>
        <v/>
      </c>
      <c r="J59" s="6">
        <f>SUM(J60:J61)</f>
        <v/>
      </c>
      <c r="K59" s="6">
        <f>SUM(K60:K61)</f>
        <v/>
      </c>
      <c r="L59" s="7">
        <f>(I59+4*J59+K59)/6</f>
        <v/>
      </c>
      <c r="M59" s="7">
        <f>(K59-I59)/6</f>
        <v/>
      </c>
      <c r="N59" s="5" t="n"/>
      <c r="O59" s="5" t="n"/>
      <c r="P59" s="5" t="n"/>
      <c r="Q59" s="5" t="n"/>
      <c r="R59" s="5" t="n"/>
      <c r="S59" s="7">
        <f>SUM(S60:S61)</f>
        <v/>
      </c>
    </row>
    <row r="60">
      <c r="A60" s="8" t="inlineStr">
        <is>
          <t>7.1.1</t>
        </is>
      </c>
      <c r="B60" s="8" t="n"/>
      <c r="C60" s="8" t="n"/>
      <c r="D60" s="8" t="inlineStr">
        <is>
          <t>Full load and stress testing — all applications</t>
        </is>
      </c>
      <c r="E60" s="9" t="n">
        <v>4</v>
      </c>
      <c r="F60" s="9" t="n">
        <v>7</v>
      </c>
      <c r="G60" s="9" t="n">
        <v>11</v>
      </c>
      <c r="H60" s="10">
        <f>(E60+4*F60+G60)/6</f>
        <v/>
      </c>
      <c r="I60" s="9" t="n">
        <v>4</v>
      </c>
      <c r="J60" s="9" t="n">
        <v>7</v>
      </c>
      <c r="K60" s="9" t="n">
        <v>11</v>
      </c>
      <c r="L60" s="10">
        <f>(I60+4*J60+K60)/6</f>
        <v/>
      </c>
      <c r="M60" s="10">
        <f>(K60-I60)/6</f>
        <v/>
      </c>
      <c r="N60" s="8" t="inlineStr">
        <is>
          <t>DE, SE</t>
        </is>
      </c>
      <c r="O60" s="8" t="inlineStr">
        <is>
          <t>6.2.3</t>
        </is>
      </c>
      <c r="P60" s="8" t="inlineStr">
        <is>
          <t>R08</t>
        </is>
      </c>
      <c r="Q60" s="8" t="inlineStr"/>
      <c r="R60" s="8" t="inlineStr">
        <is>
          <t>Y</t>
        </is>
      </c>
      <c r="S60" s="10">
        <f>IF(R60="Y",H60,0)</f>
        <v/>
      </c>
    </row>
    <row r="61">
      <c r="A61" s="8" t="inlineStr">
        <is>
          <t>7.1.2</t>
        </is>
      </c>
      <c r="B61" s="8" t="n"/>
      <c r="C61" s="8" t="n"/>
      <c r="D61" s="8" t="inlineStr">
        <is>
          <t>Chaos engineering and resilience testing</t>
        </is>
      </c>
      <c r="E61" s="9" t="n">
        <v>3</v>
      </c>
      <c r="F61" s="9" t="n">
        <v>5</v>
      </c>
      <c r="G61" s="9" t="n">
        <v>8</v>
      </c>
      <c r="H61" s="10">
        <f>(E61+4*F61+G61)/6</f>
        <v/>
      </c>
      <c r="I61" s="9" t="n">
        <v>3</v>
      </c>
      <c r="J61" s="9" t="n">
        <v>5</v>
      </c>
      <c r="K61" s="9" t="n">
        <v>8</v>
      </c>
      <c r="L61" s="10">
        <f>(I61+4*J61+K61)/6</f>
        <v/>
      </c>
      <c r="M61" s="10">
        <f>(K61-I61)/6</f>
        <v/>
      </c>
      <c r="N61" s="8" t="inlineStr">
        <is>
          <t>DE, CA</t>
        </is>
      </c>
      <c r="O61" s="8" t="inlineStr">
        <is>
          <t>7.1.1</t>
        </is>
      </c>
      <c r="P61" s="8" t="inlineStr">
        <is>
          <t>R05</t>
        </is>
      </c>
      <c r="Q61" s="8" t="inlineStr">
        <is>
          <t>Simulated availability zone failure and network partition</t>
        </is>
      </c>
      <c r="R61" s="8" t="inlineStr">
        <is>
          <t>Y</t>
        </is>
      </c>
      <c r="S61" s="10">
        <f>IF(R61="Y",H61,0)</f>
        <v/>
      </c>
    </row>
    <row r="62">
      <c r="A62" s="5" t="inlineStr">
        <is>
          <t>7.2</t>
        </is>
      </c>
      <c r="B62" s="5" t="n"/>
      <c r="C62" s="5" t="inlineStr">
        <is>
          <t>Acceptance Testing &amp; Cutover</t>
        </is>
      </c>
      <c r="D62" s="5" t="n"/>
      <c r="E62" s="6">
        <f>SUM(E63:E66)</f>
        <v/>
      </c>
      <c r="F62" s="6">
        <f>SUM(F63:F66)</f>
        <v/>
      </c>
      <c r="G62" s="6">
        <f>SUM(G63:G66)</f>
        <v/>
      </c>
      <c r="H62" s="7">
        <f>(E62+4*F62+G62)/6</f>
        <v/>
      </c>
      <c r="I62" s="6">
        <f>SUM(I63:I66)</f>
        <v/>
      </c>
      <c r="J62" s="6">
        <f>SUM(J63:J66)</f>
        <v/>
      </c>
      <c r="K62" s="6">
        <f>SUM(K63:K66)</f>
        <v/>
      </c>
      <c r="L62" s="7">
        <f>(I62+4*J62+K62)/6</f>
        <v/>
      </c>
      <c r="M62" s="7">
        <f>(K62-I62)/6</f>
        <v/>
      </c>
      <c r="N62" s="5" t="n"/>
      <c r="O62" s="5" t="n"/>
      <c r="P62" s="5" t="n"/>
      <c r="Q62" s="5" t="n"/>
      <c r="R62" s="5" t="n"/>
      <c r="S62" s="7">
        <f>SUM(S63:S66)</f>
        <v/>
      </c>
    </row>
    <row r="63">
      <c r="A63" s="8" t="inlineStr">
        <is>
          <t>7.2.1</t>
        </is>
      </c>
      <c r="B63" s="8" t="n"/>
      <c r="C63" s="8" t="n"/>
      <c r="D63" s="8" t="inlineStr">
        <is>
          <t>UAT coordination and execution support</t>
        </is>
      </c>
      <c r="E63" s="9" t="n">
        <v>4</v>
      </c>
      <c r="F63" s="9" t="n">
        <v>6</v>
      </c>
      <c r="G63" s="9" t="n">
        <v>10</v>
      </c>
      <c r="H63" s="10">
        <f>(E63+4*F63+G63)/6</f>
        <v/>
      </c>
      <c r="I63" s="9" t="n">
        <v>4</v>
      </c>
      <c r="J63" s="9" t="n">
        <v>6</v>
      </c>
      <c r="K63" s="9" t="n">
        <v>10</v>
      </c>
      <c r="L63" s="10">
        <f>(I63+4*J63+K63)/6</f>
        <v/>
      </c>
      <c r="M63" s="10">
        <f>(K63-I63)/6</f>
        <v/>
      </c>
      <c r="N63" s="8" t="inlineStr">
        <is>
          <t>PM, DEV</t>
        </is>
      </c>
      <c r="O63" s="8" t="inlineStr">
        <is>
          <t>7.1.2</t>
        </is>
      </c>
      <c r="P63" s="8" t="inlineStr">
        <is>
          <t>R15</t>
        </is>
      </c>
      <c r="Q63" s="8" t="inlineStr">
        <is>
          <t>Requires business key-user availability</t>
        </is>
      </c>
      <c r="R63" s="8" t="inlineStr">
        <is>
          <t>Y</t>
        </is>
      </c>
      <c r="S63" s="10">
        <f>IF(R63="Y",H63,0)</f>
        <v/>
      </c>
    </row>
    <row r="64">
      <c r="A64" s="8" t="inlineStr">
        <is>
          <t>7.2.2</t>
        </is>
      </c>
      <c r="B64" s="8" t="n"/>
      <c r="C64" s="8" t="n"/>
      <c r="D64" s="8" t="inlineStr">
        <is>
          <t>Defect triage and remediation</t>
        </is>
      </c>
      <c r="E64" s="9" t="n">
        <v>4</v>
      </c>
      <c r="F64" s="9" t="n">
        <v>7</v>
      </c>
      <c r="G64" s="9" t="n">
        <v>12</v>
      </c>
      <c r="H64" s="10">
        <f>(E64+4*F64+G64)/6</f>
        <v/>
      </c>
      <c r="I64" s="9" t="n">
        <v>4</v>
      </c>
      <c r="J64" s="9" t="n">
        <v>7</v>
      </c>
      <c r="K64" s="9" t="n">
        <v>12</v>
      </c>
      <c r="L64" s="10">
        <f>(I64+4*J64+K64)/6</f>
        <v/>
      </c>
      <c r="M64" s="10">
        <f>(K64-I64)/6</f>
        <v/>
      </c>
      <c r="N64" s="8" t="inlineStr">
        <is>
          <t>DEV, DE</t>
        </is>
      </c>
      <c r="O64" s="8" t="inlineStr">
        <is>
          <t>7.2.1</t>
        </is>
      </c>
      <c r="P64" s="8" t="inlineStr">
        <is>
          <t>R04</t>
        </is>
      </c>
      <c r="Q64" s="8" t="inlineStr"/>
      <c r="R64" s="8" t="inlineStr">
        <is>
          <t>Y</t>
        </is>
      </c>
      <c r="S64" s="10">
        <f>IF(R64="Y",H64,0)</f>
        <v/>
      </c>
    </row>
    <row r="65">
      <c r="A65" s="8" t="inlineStr">
        <is>
          <t>7.2.3</t>
        </is>
      </c>
      <c r="B65" s="8" t="n"/>
      <c r="C65" s="8" t="n"/>
      <c r="D65" s="8" t="inlineStr">
        <is>
          <t>Go-live readiness sign-off and final cutover execution</t>
        </is>
      </c>
      <c r="E65" s="9" t="n">
        <v>3</v>
      </c>
      <c r="F65" s="9" t="n">
        <v>4</v>
      </c>
      <c r="G65" s="9" t="n">
        <v>6</v>
      </c>
      <c r="H65" s="10">
        <f>(E65+4*F65+G65)/6</f>
        <v/>
      </c>
      <c r="I65" s="9" t="n">
        <v>3</v>
      </c>
      <c r="J65" s="9" t="n">
        <v>4</v>
      </c>
      <c r="K65" s="9" t="n">
        <v>6</v>
      </c>
      <c r="L65" s="10">
        <f>(I65+4*J65+K65)/6</f>
        <v/>
      </c>
      <c r="M65" s="10">
        <f>(K65-I65)/6</f>
        <v/>
      </c>
      <c r="N65" s="8" t="inlineStr">
        <is>
          <t>PM, CA, DE</t>
        </is>
      </c>
      <c r="O65" s="8" t="inlineStr">
        <is>
          <t>7.2.2</t>
        </is>
      </c>
      <c r="P65" s="8" t="inlineStr">
        <is>
          <t>R05, R13</t>
        </is>
      </c>
      <c r="Q65" s="8" t="inlineStr">
        <is>
          <t>Includes DNS cutover and traffic switch</t>
        </is>
      </c>
      <c r="R65" s="8" t="inlineStr">
        <is>
          <t>Y</t>
        </is>
      </c>
      <c r="S65" s="10">
        <f>IF(R65="Y",H65,0)</f>
        <v/>
      </c>
    </row>
    <row r="66">
      <c r="A66" s="8" t="inlineStr">
        <is>
          <t>7.2.4</t>
        </is>
      </c>
      <c r="B66" s="8" t="n"/>
      <c r="C66" s="8" t="n"/>
      <c r="D66" s="8" t="inlineStr">
        <is>
          <t>Hypercare support and stabilisation (2 weeks)</t>
        </is>
      </c>
      <c r="E66" s="9" t="n">
        <v>6</v>
      </c>
      <c r="F66" s="9" t="n">
        <v>8</v>
      </c>
      <c r="G66" s="9" t="n">
        <v>12</v>
      </c>
      <c r="H66" s="10">
        <f>(E66+4*F66+G66)/6</f>
        <v/>
      </c>
      <c r="I66" s="9" t="n">
        <v>6</v>
      </c>
      <c r="J66" s="9" t="n">
        <v>8</v>
      </c>
      <c r="K66" s="9" t="n">
        <v>12</v>
      </c>
      <c r="L66" s="10">
        <f>(I66+4*J66+K66)/6</f>
        <v/>
      </c>
      <c r="M66" s="10">
        <f>(K66-I66)/6</f>
        <v/>
      </c>
      <c r="N66" s="8" t="inlineStr">
        <is>
          <t>DE, DEV, SE</t>
        </is>
      </c>
      <c r="O66" s="8" t="inlineStr">
        <is>
          <t>7.2.3</t>
        </is>
      </c>
      <c r="P66" s="8" t="inlineStr"/>
      <c r="Q66" s="8" t="inlineStr">
        <is>
          <t>On-call rotation, incident response and hotfix capability</t>
        </is>
      </c>
      <c r="R66" s="8" t="inlineStr">
        <is>
          <t>Y</t>
        </is>
      </c>
      <c r="S66" s="10">
        <f>IF(R66="Y",H66,0)</f>
        <v/>
      </c>
    </row>
    <row r="67">
      <c r="A67" s="11" t="inlineStr">
        <is>
          <t>TOTAL</t>
        </is>
      </c>
      <c r="B67" s="11" t="n"/>
      <c r="C67" s="11" t="n"/>
      <c r="D67" s="11" t="n"/>
      <c r="E67" s="12">
        <f>SUM(E2,E11,E21,E31,E40,E49,E58)</f>
        <v/>
      </c>
      <c r="F67" s="12">
        <f>SUM(F2,F11,F21,F31,F40,F49,F58)</f>
        <v/>
      </c>
      <c r="G67" s="12">
        <f>SUM(G2,G11,G21,G31,G40,G49,G58)</f>
        <v/>
      </c>
      <c r="H67" s="13">
        <f>SUM(H2,H11,H21,H31,H40,H49,H58)</f>
        <v/>
      </c>
      <c r="I67" s="12">
        <f>SUM(I2,I11,I21,I31,I40,I49,I58)</f>
        <v/>
      </c>
      <c r="J67" s="12">
        <f>SUM(J2,J11,J21,J31,J40,J49,J58)</f>
        <v/>
      </c>
      <c r="K67" s="12">
        <f>SUM(K2,K11,K21,K31,K40,K49,K58)</f>
        <v/>
      </c>
      <c r="L67" s="13">
        <f>SUM(L2,L11,L21,L31,L40,L49,L58)</f>
        <v/>
      </c>
      <c r="M67" s="13">
        <f>SUM(M2,M11,M21,M31,M40,M49,M58)</f>
        <v/>
      </c>
      <c r="N67" s="11" t="n"/>
      <c r="O67" s="11" t="n"/>
      <c r="P67" s="11" t="n"/>
      <c r="Q67" s="11" t="n"/>
      <c r="R67" s="11" t="n"/>
      <c r="S67" s="13">
        <f>SUM(S2,S11,S21,S31,S40,S49,S58)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4" customWidth="1" min="54" max="54"/>
  </cols>
  <sheetData>
    <row r="1">
      <c r="A1" s="1" t="inlineStr">
        <is>
          <t>Role</t>
        </is>
      </c>
      <c r="B1" s="1" t="inlineStr">
        <is>
          <t>Code</t>
        </is>
      </c>
      <c r="C1" s="1" t="inlineStr">
        <is>
          <t>Type</t>
        </is>
      </c>
      <c r="D1" s="14" t="inlineStr">
        <is>
          <t>W1</t>
        </is>
      </c>
      <c r="E1" s="14" t="inlineStr">
        <is>
          <t>W2</t>
        </is>
      </c>
      <c r="F1" s="14" t="inlineStr">
        <is>
          <t>W3</t>
        </is>
      </c>
      <c r="G1" s="14" t="inlineStr">
        <is>
          <t>W4</t>
        </is>
      </c>
      <c r="H1" s="14" t="inlineStr">
        <is>
          <t>W5</t>
        </is>
      </c>
      <c r="I1" s="14" t="inlineStr">
        <is>
          <t>W6</t>
        </is>
      </c>
      <c r="J1" s="14" t="inlineStr">
        <is>
          <t>W7</t>
        </is>
      </c>
      <c r="K1" s="14" t="inlineStr">
        <is>
          <t>W8</t>
        </is>
      </c>
      <c r="L1" s="14" t="inlineStr">
        <is>
          <t>W9</t>
        </is>
      </c>
      <c r="M1" s="14" t="inlineStr">
        <is>
          <t>W10</t>
        </is>
      </c>
      <c r="N1" s="14" t="inlineStr">
        <is>
          <t>W11</t>
        </is>
      </c>
      <c r="O1" s="14" t="inlineStr">
        <is>
          <t>W12</t>
        </is>
      </c>
      <c r="P1" s="14" t="inlineStr">
        <is>
          <t>W13</t>
        </is>
      </c>
      <c r="Q1" s="14" t="inlineStr">
        <is>
          <t>W14</t>
        </is>
      </c>
      <c r="R1" s="14" t="inlineStr">
        <is>
          <t>W15</t>
        </is>
      </c>
      <c r="S1" s="14" t="inlineStr">
        <is>
          <t>W16</t>
        </is>
      </c>
      <c r="T1" s="14" t="inlineStr">
        <is>
          <t>W17</t>
        </is>
      </c>
      <c r="U1" s="14" t="inlineStr">
        <is>
          <t>W18</t>
        </is>
      </c>
      <c r="V1" s="14" t="inlineStr">
        <is>
          <t>W19</t>
        </is>
      </c>
      <c r="W1" s="14" t="inlineStr">
        <is>
          <t>W20</t>
        </is>
      </c>
      <c r="X1" s="14" t="inlineStr">
        <is>
          <t>W21</t>
        </is>
      </c>
      <c r="Y1" s="14" t="inlineStr">
        <is>
          <t>W22</t>
        </is>
      </c>
      <c r="Z1" s="14" t="inlineStr">
        <is>
          <t>W23</t>
        </is>
      </c>
      <c r="AA1" s="14" t="inlineStr">
        <is>
          <t>W24</t>
        </is>
      </c>
      <c r="AB1" s="14" t="inlineStr">
        <is>
          <t>W25</t>
        </is>
      </c>
      <c r="AC1" s="14" t="inlineStr">
        <is>
          <t>W26</t>
        </is>
      </c>
      <c r="AD1" s="14" t="inlineStr">
        <is>
          <t>W27</t>
        </is>
      </c>
      <c r="AE1" s="14" t="inlineStr">
        <is>
          <t>W28</t>
        </is>
      </c>
      <c r="AF1" s="14" t="inlineStr">
        <is>
          <t>W29</t>
        </is>
      </c>
      <c r="AG1" s="14" t="inlineStr">
        <is>
          <t>W30</t>
        </is>
      </c>
      <c r="AH1" s="14" t="inlineStr">
        <is>
          <t>W31</t>
        </is>
      </c>
      <c r="AI1" s="14" t="inlineStr">
        <is>
          <t>W32</t>
        </is>
      </c>
      <c r="AJ1" s="14" t="inlineStr">
        <is>
          <t>W33</t>
        </is>
      </c>
      <c r="AK1" s="14" t="inlineStr">
        <is>
          <t>W34</t>
        </is>
      </c>
      <c r="AL1" s="14" t="inlineStr">
        <is>
          <t>W35</t>
        </is>
      </c>
      <c r="AM1" s="14" t="inlineStr">
        <is>
          <t>W36</t>
        </is>
      </c>
      <c r="AN1" s="14" t="inlineStr">
        <is>
          <t>W37</t>
        </is>
      </c>
      <c r="AO1" s="14" t="inlineStr">
        <is>
          <t>W38</t>
        </is>
      </c>
      <c r="AP1" s="14" t="inlineStr">
        <is>
          <t>W39</t>
        </is>
      </c>
      <c r="AQ1" s="14" t="inlineStr">
        <is>
          <t>W40</t>
        </is>
      </c>
      <c r="AR1" s="14" t="inlineStr">
        <is>
          <t>W41</t>
        </is>
      </c>
      <c r="AS1" s="14" t="inlineStr">
        <is>
          <t>W42</t>
        </is>
      </c>
      <c r="AT1" s="14" t="inlineStr">
        <is>
          <t>W43</t>
        </is>
      </c>
      <c r="AU1" s="14" t="inlineStr">
        <is>
          <t>W44</t>
        </is>
      </c>
      <c r="AV1" s="14" t="inlineStr">
        <is>
          <t>W45</t>
        </is>
      </c>
      <c r="AW1" s="14" t="inlineStr">
        <is>
          <t>W46</t>
        </is>
      </c>
      <c r="AX1" s="14" t="inlineStr">
        <is>
          <t>W47</t>
        </is>
      </c>
      <c r="AY1" s="14" t="inlineStr">
        <is>
          <t>W48</t>
        </is>
      </c>
      <c r="AZ1" s="14" t="inlineStr">
        <is>
          <t>W49</t>
        </is>
      </c>
      <c r="BA1" s="14" t="inlineStr">
        <is>
          <t>W50</t>
        </is>
      </c>
      <c r="BB1" s="1" t="inlineStr">
        <is>
          <t>TOTAL (PD)</t>
        </is>
      </c>
    </row>
    <row r="2">
      <c r="C2" s="15" t="inlineStr">
        <is>
          <t>Week of</t>
        </is>
      </c>
      <c r="D2" s="15" t="inlineStr">
        <is>
          <t>2026-09-01</t>
        </is>
      </c>
      <c r="E2" s="15" t="inlineStr">
        <is>
          <t>2026-09-08</t>
        </is>
      </c>
      <c r="F2" s="15" t="inlineStr">
        <is>
          <t>2026-09-15</t>
        </is>
      </c>
      <c r="G2" s="15" t="inlineStr">
        <is>
          <t>2026-09-22</t>
        </is>
      </c>
      <c r="H2" s="15" t="inlineStr">
        <is>
          <t>2026-09-29</t>
        </is>
      </c>
      <c r="I2" s="15" t="inlineStr">
        <is>
          <t>2026-10-06</t>
        </is>
      </c>
      <c r="J2" s="15" t="inlineStr">
        <is>
          <t>2026-10-13</t>
        </is>
      </c>
      <c r="K2" s="15" t="inlineStr">
        <is>
          <t>2026-10-20</t>
        </is>
      </c>
      <c r="L2" s="15" t="inlineStr">
        <is>
          <t>2026-10-27</t>
        </is>
      </c>
      <c r="M2" s="15" t="inlineStr">
        <is>
          <t>2026-11-03</t>
        </is>
      </c>
      <c r="N2" s="15" t="inlineStr">
        <is>
          <t>2026-11-10</t>
        </is>
      </c>
      <c r="O2" s="15" t="inlineStr">
        <is>
          <t>2026-11-17</t>
        </is>
      </c>
      <c r="P2" s="15" t="inlineStr">
        <is>
          <t>2026-11-24</t>
        </is>
      </c>
      <c r="Q2" s="15" t="inlineStr">
        <is>
          <t>2026-12-01</t>
        </is>
      </c>
      <c r="R2" s="15" t="inlineStr">
        <is>
          <t>2026-12-08</t>
        </is>
      </c>
      <c r="S2" s="15" t="inlineStr">
        <is>
          <t>2026-12-15</t>
        </is>
      </c>
      <c r="T2" s="15" t="inlineStr">
        <is>
          <t>2026-12-22</t>
        </is>
      </c>
      <c r="U2" s="15" t="inlineStr">
        <is>
          <t>2026-12-29</t>
        </is>
      </c>
      <c r="V2" s="15" t="inlineStr">
        <is>
          <t>2027-01-05</t>
        </is>
      </c>
      <c r="W2" s="15" t="inlineStr">
        <is>
          <t>2027-01-12</t>
        </is>
      </c>
      <c r="X2" s="15" t="inlineStr">
        <is>
          <t>2027-01-19</t>
        </is>
      </c>
      <c r="Y2" s="15" t="inlineStr">
        <is>
          <t>2027-01-26</t>
        </is>
      </c>
      <c r="Z2" s="15" t="inlineStr">
        <is>
          <t>2027-02-02</t>
        </is>
      </c>
      <c r="AA2" s="15" t="inlineStr">
        <is>
          <t>2027-02-09</t>
        </is>
      </c>
      <c r="AB2" s="15" t="inlineStr">
        <is>
          <t>2027-02-16</t>
        </is>
      </c>
      <c r="AC2" s="15" t="inlineStr">
        <is>
          <t>2027-02-23</t>
        </is>
      </c>
      <c r="AD2" s="15" t="inlineStr">
        <is>
          <t>2027-03-02</t>
        </is>
      </c>
      <c r="AE2" s="15" t="inlineStr">
        <is>
          <t>2027-03-09</t>
        </is>
      </c>
      <c r="AF2" s="15" t="inlineStr">
        <is>
          <t>2027-03-16</t>
        </is>
      </c>
      <c r="AG2" s="15" t="inlineStr">
        <is>
          <t>2027-03-23</t>
        </is>
      </c>
      <c r="AH2" s="15" t="inlineStr">
        <is>
          <t>2027-03-30</t>
        </is>
      </c>
      <c r="AI2" s="15" t="inlineStr">
        <is>
          <t>2027-04-06</t>
        </is>
      </c>
      <c r="AJ2" s="15" t="inlineStr">
        <is>
          <t>2027-04-13</t>
        </is>
      </c>
      <c r="AK2" s="15" t="inlineStr">
        <is>
          <t>2027-04-20</t>
        </is>
      </c>
      <c r="AL2" s="15" t="inlineStr">
        <is>
          <t>2027-04-27</t>
        </is>
      </c>
      <c r="AM2" s="15" t="inlineStr">
        <is>
          <t>2027-05-04</t>
        </is>
      </c>
      <c r="AN2" s="15" t="inlineStr">
        <is>
          <t>2027-05-11</t>
        </is>
      </c>
      <c r="AO2" s="15" t="inlineStr">
        <is>
          <t>2027-05-18</t>
        </is>
      </c>
      <c r="AP2" s="15" t="inlineStr">
        <is>
          <t>2027-05-25</t>
        </is>
      </c>
      <c r="AQ2" s="15" t="inlineStr">
        <is>
          <t>2027-06-01</t>
        </is>
      </c>
      <c r="AR2" s="15" t="inlineStr">
        <is>
          <t>2027-06-08</t>
        </is>
      </c>
      <c r="AS2" s="15" t="inlineStr">
        <is>
          <t>2027-06-15</t>
        </is>
      </c>
      <c r="AT2" s="15" t="inlineStr">
        <is>
          <t>2027-06-22</t>
        </is>
      </c>
      <c r="AU2" s="15" t="inlineStr">
        <is>
          <t>2027-06-29</t>
        </is>
      </c>
      <c r="AV2" s="15" t="inlineStr">
        <is>
          <t>2027-07-06</t>
        </is>
      </c>
      <c r="AW2" s="15" t="inlineStr">
        <is>
          <t>2027-07-13</t>
        </is>
      </c>
      <c r="AX2" s="15" t="inlineStr">
        <is>
          <t>2027-07-20</t>
        </is>
      </c>
      <c r="AY2" s="15" t="inlineStr">
        <is>
          <t>2027-07-27</t>
        </is>
      </c>
      <c r="AZ2" s="15" t="inlineStr">
        <is>
          <t>2027-08-03</t>
        </is>
      </c>
      <c r="BA2" s="15" t="inlineStr">
        <is>
          <t>2027-08-10</t>
        </is>
      </c>
    </row>
    <row r="3">
      <c r="A3" t="inlineStr">
        <is>
          <t>Cloud Architect</t>
        </is>
      </c>
      <c r="B3" t="inlineStr">
        <is>
          <t>CA</t>
        </is>
      </c>
      <c r="C3" t="inlineStr">
        <is>
          <t>billable</t>
        </is>
      </c>
      <c r="D3" s="16" t="n">
        <v>4.67</v>
      </c>
      <c r="E3" s="16" t="n">
        <v>4.67</v>
      </c>
      <c r="F3" s="16" t="n">
        <v>4.67</v>
      </c>
      <c r="G3" s="16" t="n">
        <v>4.67</v>
      </c>
      <c r="H3" s="16" t="n">
        <v>4.81</v>
      </c>
      <c r="I3" s="16" t="n">
        <v>4.81</v>
      </c>
      <c r="J3" s="16" t="n">
        <v>4.81</v>
      </c>
      <c r="K3" s="16" t="n">
        <v>4.81</v>
      </c>
      <c r="L3" s="16" t="n">
        <v>4.81</v>
      </c>
      <c r="M3" s="16" t="n">
        <v>4.81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  <c r="AF3" s="17" t="n">
        <v>0</v>
      </c>
      <c r="AG3" s="17" t="n">
        <v>0</v>
      </c>
      <c r="AH3" s="17" t="n">
        <v>0</v>
      </c>
      <c r="AI3" s="17" t="n">
        <v>0</v>
      </c>
      <c r="AJ3" s="17" t="n">
        <v>0</v>
      </c>
      <c r="AK3" s="17" t="n">
        <v>0</v>
      </c>
      <c r="AL3" s="17" t="n">
        <v>0.85</v>
      </c>
      <c r="AM3" s="17" t="n">
        <v>0.85</v>
      </c>
      <c r="AN3" s="17" t="n">
        <v>0.85</v>
      </c>
      <c r="AO3" s="17" t="n">
        <v>0.85</v>
      </c>
      <c r="AP3" s="17" t="n">
        <v>0.85</v>
      </c>
      <c r="AQ3" s="17" t="n">
        <v>0.85</v>
      </c>
      <c r="AR3" s="17" t="n">
        <v>0.85</v>
      </c>
      <c r="AS3" s="17" t="n">
        <v>0.85</v>
      </c>
      <c r="AT3" s="17" t="n">
        <v>0.85</v>
      </c>
      <c r="AU3" s="17" t="n">
        <v>0.85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8">
        <f>SUM(D3:BA3)</f>
        <v/>
      </c>
    </row>
    <row r="4">
      <c r="A4" t="inlineStr">
        <is>
          <t>DevOps Engineer</t>
        </is>
      </c>
      <c r="B4" t="inlineStr">
        <is>
          <t>DE</t>
        </is>
      </c>
      <c r="C4" t="inlineStr">
        <is>
          <t>billable</t>
        </is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0.53</v>
      </c>
      <c r="I4" s="17" t="n">
        <v>0.53</v>
      </c>
      <c r="J4" s="17" t="n">
        <v>0.53</v>
      </c>
      <c r="K4" s="17" t="n">
        <v>0.53</v>
      </c>
      <c r="L4" s="17" t="n">
        <v>0.53</v>
      </c>
      <c r="M4" s="17" t="n">
        <v>0.53</v>
      </c>
      <c r="N4" s="16" t="n">
        <v>4.86</v>
      </c>
      <c r="O4" s="16" t="n">
        <v>4.86</v>
      </c>
      <c r="P4" s="16" t="n">
        <v>4.86</v>
      </c>
      <c r="Q4" s="16" t="n">
        <v>4.86</v>
      </c>
      <c r="R4" s="16" t="n">
        <v>4.86</v>
      </c>
      <c r="S4" s="16" t="n">
        <v>4.86</v>
      </c>
      <c r="T4" s="16" t="n">
        <v>4.86</v>
      </c>
      <c r="U4" s="17" t="n">
        <v>1.46</v>
      </c>
      <c r="V4" s="17" t="n">
        <v>1.46</v>
      </c>
      <c r="W4" s="17" t="n">
        <v>1.46</v>
      </c>
      <c r="X4" s="17" t="n">
        <v>1.46</v>
      </c>
      <c r="Y4" s="17" t="n">
        <v>1.46</v>
      </c>
      <c r="Z4" s="17" t="n">
        <v>1.46</v>
      </c>
      <c r="AA4" s="17" t="n">
        <v>1.46</v>
      </c>
      <c r="AB4" s="17" t="n">
        <v>1.46</v>
      </c>
      <c r="AC4" s="17" t="n">
        <v>1.72</v>
      </c>
      <c r="AD4" s="17" t="n">
        <v>1.72</v>
      </c>
      <c r="AE4" s="17" t="n">
        <v>1.72</v>
      </c>
      <c r="AF4" s="17" t="n">
        <v>1.72</v>
      </c>
      <c r="AG4" s="17" t="n">
        <v>1.72</v>
      </c>
      <c r="AH4" s="17" t="n">
        <v>1.72</v>
      </c>
      <c r="AI4" s="17" t="n">
        <v>1.72</v>
      </c>
      <c r="AJ4" s="17" t="n">
        <v>1.72</v>
      </c>
      <c r="AK4" s="17" t="n">
        <v>1.72</v>
      </c>
      <c r="AL4" s="17" t="n">
        <v>1.43</v>
      </c>
      <c r="AM4" s="17" t="n">
        <v>1.43</v>
      </c>
      <c r="AN4" s="17" t="n">
        <v>1.43</v>
      </c>
      <c r="AO4" s="17" t="n">
        <v>1.43</v>
      </c>
      <c r="AP4" s="17" t="n">
        <v>1.43</v>
      </c>
      <c r="AQ4" s="17" t="n">
        <v>1.43</v>
      </c>
      <c r="AR4" s="17" t="n">
        <v>1.43</v>
      </c>
      <c r="AS4" s="17" t="n">
        <v>1.43</v>
      </c>
      <c r="AT4" s="17" t="n">
        <v>1.43</v>
      </c>
      <c r="AU4" s="17" t="n">
        <v>1.43</v>
      </c>
      <c r="AV4" s="17" t="n">
        <v>3.44</v>
      </c>
      <c r="AW4" s="17" t="n">
        <v>3.44</v>
      </c>
      <c r="AX4" s="17" t="n">
        <v>3.44</v>
      </c>
      <c r="AY4" s="17" t="n">
        <v>3.44</v>
      </c>
      <c r="AZ4" s="17" t="n">
        <v>3.44</v>
      </c>
      <c r="BA4" s="17" t="n">
        <v>3.44</v>
      </c>
      <c r="BB4" s="18">
        <f>SUM(D4:BA4)</f>
        <v/>
      </c>
    </row>
    <row r="5">
      <c r="A5" t="inlineStr">
        <is>
          <t>Developer</t>
        </is>
      </c>
      <c r="B5" t="inlineStr">
        <is>
          <t>DEV</t>
        </is>
      </c>
      <c r="C5" t="inlineStr">
        <is>
          <t>billable</t>
        </is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3.48</v>
      </c>
      <c r="V5" s="17" t="n">
        <v>3.48</v>
      </c>
      <c r="W5" s="17" t="n">
        <v>3.48</v>
      </c>
      <c r="X5" s="17" t="n">
        <v>3.48</v>
      </c>
      <c r="Y5" s="17" t="n">
        <v>3.48</v>
      </c>
      <c r="Z5" s="17" t="n">
        <v>3.48</v>
      </c>
      <c r="AA5" s="17" t="n">
        <v>3.48</v>
      </c>
      <c r="AB5" s="17" t="n">
        <v>3.48</v>
      </c>
      <c r="AC5" s="17" t="n">
        <v>3.91</v>
      </c>
      <c r="AD5" s="17" t="n">
        <v>3.91</v>
      </c>
      <c r="AE5" s="17" t="n">
        <v>3.91</v>
      </c>
      <c r="AF5" s="17" t="n">
        <v>3.91</v>
      </c>
      <c r="AG5" s="17" t="n">
        <v>3.91</v>
      </c>
      <c r="AH5" s="17" t="n">
        <v>3.91</v>
      </c>
      <c r="AI5" s="17" t="n">
        <v>3.91</v>
      </c>
      <c r="AJ5" s="17" t="n">
        <v>3.91</v>
      </c>
      <c r="AK5" s="17" t="n">
        <v>3.91</v>
      </c>
      <c r="AL5" s="16" t="n">
        <v>4.73</v>
      </c>
      <c r="AM5" s="16" t="n">
        <v>4.73</v>
      </c>
      <c r="AN5" s="16" t="n">
        <v>4.73</v>
      </c>
      <c r="AO5" s="16" t="n">
        <v>4.73</v>
      </c>
      <c r="AP5" s="16" t="n">
        <v>4.73</v>
      </c>
      <c r="AQ5" s="16" t="n">
        <v>4.73</v>
      </c>
      <c r="AR5" s="16" t="n">
        <v>4.73</v>
      </c>
      <c r="AS5" s="16" t="n">
        <v>4.73</v>
      </c>
      <c r="AT5" s="16" t="n">
        <v>4.73</v>
      </c>
      <c r="AU5" s="16" t="n">
        <v>4.73</v>
      </c>
      <c r="AV5" s="17" t="n">
        <v>1.22</v>
      </c>
      <c r="AW5" s="17" t="n">
        <v>1.22</v>
      </c>
      <c r="AX5" s="17" t="n">
        <v>1.22</v>
      </c>
      <c r="AY5" s="17" t="n">
        <v>1.22</v>
      </c>
      <c r="AZ5" s="17" t="n">
        <v>1.22</v>
      </c>
      <c r="BA5" s="17" t="n">
        <v>1.22</v>
      </c>
      <c r="BB5" s="18">
        <f>SUM(D5:BA5)</f>
        <v/>
      </c>
    </row>
    <row r="6">
      <c r="A6" t="inlineStr">
        <is>
          <t>Project Manager</t>
        </is>
      </c>
      <c r="B6" t="inlineStr">
        <is>
          <t>PM</t>
        </is>
      </c>
      <c r="C6" t="inlineStr">
        <is>
          <t>billable</t>
        </is>
      </c>
      <c r="D6" s="17" t="n">
        <v>2.38</v>
      </c>
      <c r="E6" s="17" t="n">
        <v>2.38</v>
      </c>
      <c r="F6" s="17" t="n">
        <v>2.38</v>
      </c>
      <c r="G6" s="17" t="n">
        <v>2.38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>
        <v>0</v>
      </c>
      <c r="AT6" s="17" t="n">
        <v>0</v>
      </c>
      <c r="AU6" s="17" t="n">
        <v>0</v>
      </c>
      <c r="AV6" s="17" t="n">
        <v>1.75</v>
      </c>
      <c r="AW6" s="17" t="n">
        <v>1.75</v>
      </c>
      <c r="AX6" s="17" t="n">
        <v>1.75</v>
      </c>
      <c r="AY6" s="17" t="n">
        <v>1.75</v>
      </c>
      <c r="AZ6" s="17" t="n">
        <v>1.75</v>
      </c>
      <c r="BA6" s="17" t="n">
        <v>1.75</v>
      </c>
      <c r="BB6" s="18">
        <f>SUM(D6:BA6)</f>
        <v/>
      </c>
    </row>
    <row r="7">
      <c r="A7" t="inlineStr">
        <is>
          <t>Security Engineer</t>
        </is>
      </c>
      <c r="B7" t="inlineStr">
        <is>
          <t>SE</t>
        </is>
      </c>
      <c r="C7" t="inlineStr">
        <is>
          <t>billable</t>
        </is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1.92</v>
      </c>
      <c r="I7" s="17" t="n">
        <v>1.92</v>
      </c>
      <c r="J7" s="17" t="n">
        <v>1.92</v>
      </c>
      <c r="K7" s="17" t="n">
        <v>1.92</v>
      </c>
      <c r="L7" s="17" t="n">
        <v>1.92</v>
      </c>
      <c r="M7" s="17" t="n">
        <v>1.92</v>
      </c>
      <c r="N7" s="17" t="n">
        <v>0.45</v>
      </c>
      <c r="O7" s="17" t="n">
        <v>0.45</v>
      </c>
      <c r="P7" s="17" t="n">
        <v>0.45</v>
      </c>
      <c r="Q7" s="17" t="n">
        <v>0.45</v>
      </c>
      <c r="R7" s="17" t="n">
        <v>0.45</v>
      </c>
      <c r="S7" s="17" t="n">
        <v>0.45</v>
      </c>
      <c r="T7" s="17" t="n">
        <v>0.45</v>
      </c>
      <c r="U7" s="17" t="n">
        <v>0.52</v>
      </c>
      <c r="V7" s="17" t="n">
        <v>0.52</v>
      </c>
      <c r="W7" s="17" t="n">
        <v>0.52</v>
      </c>
      <c r="X7" s="17" t="n">
        <v>0.52</v>
      </c>
      <c r="Y7" s="17" t="n">
        <v>0.52</v>
      </c>
      <c r="Z7" s="17" t="n">
        <v>0.52</v>
      </c>
      <c r="AA7" s="17" t="n">
        <v>0.52</v>
      </c>
      <c r="AB7" s="17" t="n">
        <v>0.52</v>
      </c>
      <c r="AC7" s="17" t="n">
        <v>0.57</v>
      </c>
      <c r="AD7" s="17" t="n">
        <v>0.57</v>
      </c>
      <c r="AE7" s="17" t="n">
        <v>0.57</v>
      </c>
      <c r="AF7" s="17" t="n">
        <v>0.57</v>
      </c>
      <c r="AG7" s="17" t="n">
        <v>0.57</v>
      </c>
      <c r="AH7" s="17" t="n">
        <v>0.57</v>
      </c>
      <c r="AI7" s="17" t="n">
        <v>0.57</v>
      </c>
      <c r="AJ7" s="17" t="n">
        <v>0.57</v>
      </c>
      <c r="AK7" s="17" t="n">
        <v>0.57</v>
      </c>
      <c r="AL7" s="17" t="n">
        <v>0.63</v>
      </c>
      <c r="AM7" s="17" t="n">
        <v>0.63</v>
      </c>
      <c r="AN7" s="17" t="n">
        <v>0.63</v>
      </c>
      <c r="AO7" s="17" t="n">
        <v>0.63</v>
      </c>
      <c r="AP7" s="17" t="n">
        <v>0.63</v>
      </c>
      <c r="AQ7" s="17" t="n">
        <v>0.63</v>
      </c>
      <c r="AR7" s="17" t="n">
        <v>0.63</v>
      </c>
      <c r="AS7" s="17" t="n">
        <v>0.63</v>
      </c>
      <c r="AT7" s="17" t="n">
        <v>0.63</v>
      </c>
      <c r="AU7" s="17" t="n">
        <v>0.63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8">
        <f>SUM(D7:BA7)</f>
        <v/>
      </c>
    </row>
    <row r="8">
      <c r="A8" s="11" t="inlineStr">
        <is>
          <t>Weekly TOTAL</t>
        </is>
      </c>
      <c r="D8" s="12">
        <f>SUM(D3:D7)</f>
        <v/>
      </c>
      <c r="E8" s="12">
        <f>SUM(E3:E7)</f>
        <v/>
      </c>
      <c r="F8" s="12">
        <f>SUM(F3:F7)</f>
        <v/>
      </c>
      <c r="G8" s="12">
        <f>SUM(G3:G7)</f>
        <v/>
      </c>
      <c r="H8" s="12">
        <f>SUM(H3:H7)</f>
        <v/>
      </c>
      <c r="I8" s="12">
        <f>SUM(I3:I7)</f>
        <v/>
      </c>
      <c r="J8" s="12">
        <f>SUM(J3:J7)</f>
        <v/>
      </c>
      <c r="K8" s="12">
        <f>SUM(K3:K7)</f>
        <v/>
      </c>
      <c r="L8" s="12">
        <f>SUM(L3:L7)</f>
        <v/>
      </c>
      <c r="M8" s="12">
        <f>SUM(M3:M7)</f>
        <v/>
      </c>
      <c r="N8" s="12">
        <f>SUM(N3:N7)</f>
        <v/>
      </c>
      <c r="O8" s="12">
        <f>SUM(O3:O7)</f>
        <v/>
      </c>
      <c r="P8" s="12">
        <f>SUM(P3:P7)</f>
        <v/>
      </c>
      <c r="Q8" s="12">
        <f>SUM(Q3:Q7)</f>
        <v/>
      </c>
      <c r="R8" s="12">
        <f>SUM(R3:R7)</f>
        <v/>
      </c>
      <c r="S8" s="12">
        <f>SUM(S3:S7)</f>
        <v/>
      </c>
      <c r="T8" s="12">
        <f>SUM(T3:T7)</f>
        <v/>
      </c>
      <c r="U8" s="12">
        <f>SUM(U3:U7)</f>
        <v/>
      </c>
      <c r="V8" s="12">
        <f>SUM(V3:V7)</f>
        <v/>
      </c>
      <c r="W8" s="12">
        <f>SUM(W3:W7)</f>
        <v/>
      </c>
      <c r="X8" s="12">
        <f>SUM(X3:X7)</f>
        <v/>
      </c>
      <c r="Y8" s="12">
        <f>SUM(Y3:Y7)</f>
        <v/>
      </c>
      <c r="Z8" s="12">
        <f>SUM(Z3:Z7)</f>
        <v/>
      </c>
      <c r="AA8" s="12">
        <f>SUM(AA3:AA7)</f>
        <v/>
      </c>
      <c r="AB8" s="12">
        <f>SUM(AB3:AB7)</f>
        <v/>
      </c>
      <c r="AC8" s="12">
        <f>SUM(AC3:AC7)</f>
        <v/>
      </c>
      <c r="AD8" s="12">
        <f>SUM(AD3:AD7)</f>
        <v/>
      </c>
      <c r="AE8" s="12">
        <f>SUM(AE3:AE7)</f>
        <v/>
      </c>
      <c r="AF8" s="12">
        <f>SUM(AF3:AF7)</f>
        <v/>
      </c>
      <c r="AG8" s="12">
        <f>SUM(AG3:AG7)</f>
        <v/>
      </c>
      <c r="AH8" s="12">
        <f>SUM(AH3:AH7)</f>
        <v/>
      </c>
      <c r="AI8" s="12">
        <f>SUM(AI3:AI7)</f>
        <v/>
      </c>
      <c r="AJ8" s="12">
        <f>SUM(AJ3:AJ7)</f>
        <v/>
      </c>
      <c r="AK8" s="12">
        <f>SUM(AK3:AK7)</f>
        <v/>
      </c>
      <c r="AL8" s="12">
        <f>SUM(AL3:AL7)</f>
        <v/>
      </c>
      <c r="AM8" s="12">
        <f>SUM(AM3:AM7)</f>
        <v/>
      </c>
      <c r="AN8" s="12">
        <f>SUM(AN3:AN7)</f>
        <v/>
      </c>
      <c r="AO8" s="12">
        <f>SUM(AO3:AO7)</f>
        <v/>
      </c>
      <c r="AP8" s="12">
        <f>SUM(AP3:AP7)</f>
        <v/>
      </c>
      <c r="AQ8" s="12">
        <f>SUM(AQ3:AQ7)</f>
        <v/>
      </c>
      <c r="AR8" s="12">
        <f>SUM(AR3:AR7)</f>
        <v/>
      </c>
      <c r="AS8" s="12">
        <f>SUM(AS3:AS7)</f>
        <v/>
      </c>
      <c r="AT8" s="12">
        <f>SUM(AT3:AT7)</f>
        <v/>
      </c>
      <c r="AU8" s="12">
        <f>SUM(AU3:AU7)</f>
        <v/>
      </c>
      <c r="AV8" s="12">
        <f>SUM(AV3:AV7)</f>
        <v/>
      </c>
      <c r="AW8" s="12">
        <f>SUM(AW3:AW7)</f>
        <v/>
      </c>
      <c r="AX8" s="12">
        <f>SUM(AX3:AX7)</f>
        <v/>
      </c>
      <c r="AY8" s="12">
        <f>SUM(AY3:AY7)</f>
        <v/>
      </c>
      <c r="AZ8" s="12">
        <f>SUM(AZ3:AZ7)</f>
        <v/>
      </c>
      <c r="BA8" s="12">
        <f>SUM(BA3:BA7)</f>
        <v/>
      </c>
      <c r="BB8" s="12">
        <f>SUM(D8:BA8)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35" customWidth="1" min="10" max="10"/>
    <col width="10" customWidth="1" min="11" max="11"/>
    <col width="16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Risk Description</t>
        </is>
      </c>
      <c r="C1" s="1" t="inlineStr">
        <is>
          <t>Category</t>
        </is>
      </c>
      <c r="D1" s="1" t="inlineStr">
        <is>
          <t>Affected Phases</t>
        </is>
      </c>
      <c r="E1" s="1" t="inlineStr">
        <is>
          <t>Probability (1-5)</t>
        </is>
      </c>
      <c r="F1" s="1" t="inlineStr">
        <is>
          <t>Impact (1-5)</t>
        </is>
      </c>
      <c r="G1" s="1" t="inlineStr">
        <is>
          <t>Risk Score</t>
        </is>
      </c>
      <c r="H1" s="1" t="inlineStr">
        <is>
          <t>Priority</t>
        </is>
      </c>
      <c r="I1" s="1" t="inlineStr">
        <is>
          <t>Strategy</t>
        </is>
      </c>
      <c r="J1" s="1" t="inlineStr">
        <is>
          <t>Mitigation Action</t>
        </is>
      </c>
      <c r="K1" s="1" t="inlineStr">
        <is>
          <t>Owner</t>
        </is>
      </c>
      <c r="L1" s="1" t="inlineStr">
        <is>
          <t>Contingency (pd)</t>
        </is>
      </c>
      <c r="M1" s="1" t="inlineStr">
        <is>
          <t>Contingency Cost</t>
        </is>
      </c>
    </row>
    <row r="2">
      <c r="A2" s="19" t="inlineStr">
        <is>
          <t>R01</t>
        </is>
      </c>
      <c r="B2" s="19" t="inlineStr">
        <is>
          <t>Cloud Architect resource unavailability due to market competition</t>
        </is>
      </c>
      <c r="C2" s="19" t="inlineStr">
        <is>
          <t>Organizational</t>
        </is>
      </c>
      <c r="D2" s="19" t="inlineStr">
        <is>
          <t>1, 2, 3</t>
        </is>
      </c>
      <c r="E2" s="19" t="n">
        <v>4</v>
      </c>
      <c r="F2" s="19" t="n">
        <v>5</v>
      </c>
      <c r="G2" s="19">
        <f>E2*F2</f>
        <v/>
      </c>
      <c r="H2" s="19">
        <f>IF(G2&gt;=15,"CRITICAL",IF(G2&gt;=10,"HIGH",IF(G2&gt;=5,"MEDIUM","LOW")))</f>
        <v/>
      </c>
      <c r="I2" s="19" t="inlineStr">
        <is>
          <t>Mitigate</t>
        </is>
      </c>
      <c r="J2" s="19" t="inlineStr">
        <is>
          <t>Dual-source cloud architects; include bench resource in contract; knowledge redundancy through pair working</t>
        </is>
      </c>
      <c r="K2" s="19" t="inlineStr">
        <is>
          <t>PM</t>
        </is>
      </c>
      <c r="L2" s="19" t="n">
        <v>20</v>
      </c>
      <c r="M2" s="19">
        <f>L2*650</f>
        <v/>
      </c>
    </row>
    <row r="3">
      <c r="A3" s="19" t="inlineStr">
        <is>
          <t>R02</t>
        </is>
      </c>
      <c r="B3" s="19" t="inlineStr">
        <is>
          <t>Application dependency complexity exceeds initial assessment estimates</t>
        </is>
      </c>
      <c r="C3" s="19" t="inlineStr">
        <is>
          <t>Technical</t>
        </is>
      </c>
      <c r="D3" s="19" t="inlineStr">
        <is>
          <t>1, 2</t>
        </is>
      </c>
      <c r="E3" s="19" t="n">
        <v>5</v>
      </c>
      <c r="F3" s="19" t="n">
        <v>4</v>
      </c>
      <c r="G3" s="19">
        <f>E3*F3</f>
        <v/>
      </c>
      <c r="H3" s="19">
        <f>IF(G3&gt;=15,"CRITICAL",IF(G3&gt;=10,"HIGH",IF(G3&gt;=5,"MEDIUM","LOW")))</f>
        <v/>
      </c>
      <c r="I3" s="19" t="inlineStr">
        <is>
          <t>Mitigate</t>
        </is>
      </c>
      <c r="J3" s="19" t="inlineStr">
        <is>
          <t>Automated dependency scanning tools; allow buffer time in assessment phase; iterative discovery</t>
        </is>
      </c>
      <c r="K3" s="19" t="inlineStr">
        <is>
          <t>CA</t>
        </is>
      </c>
      <c r="L3" s="19" t="n">
        <v>18</v>
      </c>
      <c r="M3" s="19">
        <f>L3*650</f>
        <v/>
      </c>
    </row>
    <row r="4">
      <c r="A4" s="19" t="inlineStr">
        <is>
          <t>R03</t>
        </is>
      </c>
      <c r="B4" s="19" t="inlineStr">
        <is>
          <t>Data migration volume or quality issues causing delays</t>
        </is>
      </c>
      <c r="C4" s="19" t="inlineStr">
        <is>
          <t>Technical</t>
        </is>
      </c>
      <c r="D4" s="19" t="inlineStr">
        <is>
          <t>4, 5, 6</t>
        </is>
      </c>
      <c r="E4" s="19" t="n">
        <v>4</v>
      </c>
      <c r="F4" s="19" t="n">
        <v>5</v>
      </c>
      <c r="G4" s="19">
        <f>E4*F4</f>
        <v/>
      </c>
      <c r="H4" s="19">
        <f>IF(G4&gt;=15,"CRITICAL",IF(G4&gt;=10,"HIGH",IF(G4&gt;=5,"MEDIUM","LOW")))</f>
        <v/>
      </c>
      <c r="I4" s="19" t="inlineStr">
        <is>
          <t>Mitigate</t>
        </is>
      </c>
      <c r="J4" s="19" t="inlineStr">
        <is>
          <t>Early data profiling; automated data quality scripts; dry-run migrations before production cutover</t>
        </is>
      </c>
      <c r="K4" s="19" t="inlineStr">
        <is>
          <t>DE</t>
        </is>
      </c>
      <c r="L4" s="19" t="n">
        <v>25</v>
      </c>
      <c r="M4" s="19">
        <f>L4*650</f>
        <v/>
      </c>
    </row>
    <row r="5">
      <c r="A5" s="19" t="inlineStr">
        <is>
          <t>R04</t>
        </is>
      </c>
      <c r="B5" s="19" t="inlineStr">
        <is>
          <t>Legacy application incompatibility with containerisation approach</t>
        </is>
      </c>
      <c r="C5" s="19" t="inlineStr">
        <is>
          <t>Technical</t>
        </is>
      </c>
      <c r="D5" s="19" t="inlineStr">
        <is>
          <t>4, 5, 6, 7</t>
        </is>
      </c>
      <c r="E5" s="19" t="n">
        <v>4</v>
      </c>
      <c r="F5" s="19" t="n">
        <v>4</v>
      </c>
      <c r="G5" s="19">
        <f>E5*F5</f>
        <v/>
      </c>
      <c r="H5" s="19">
        <f>IF(G5&gt;=15,"CRITICAL",IF(G5&gt;=10,"HIGH",IF(G5&gt;=5,"MEDIUM","LOW")))</f>
        <v/>
      </c>
      <c r="I5" s="19" t="inlineStr">
        <is>
          <t>Mitigate</t>
        </is>
      </c>
      <c r="J5" s="19" t="inlineStr">
        <is>
          <t>Technical spike in Phase 1; fallback to VM-based lift-and-shift for incompatible apps; 6-R reclassification</t>
        </is>
      </c>
      <c r="K5" s="19" t="inlineStr">
        <is>
          <t>CA</t>
        </is>
      </c>
      <c r="L5" s="19" t="n">
        <v>30</v>
      </c>
      <c r="M5" s="19">
        <f>L5*650</f>
        <v/>
      </c>
    </row>
    <row r="6">
      <c r="A6" s="19" t="inlineStr">
        <is>
          <t>R05</t>
        </is>
      </c>
      <c r="B6" s="19" t="inlineStr">
        <is>
          <t>Cloud provider service outage or degradation during active migration window</t>
        </is>
      </c>
      <c r="C6" s="19" t="inlineStr">
        <is>
          <t>External</t>
        </is>
      </c>
      <c r="D6" s="19" t="inlineStr">
        <is>
          <t>3, 4, 7</t>
        </is>
      </c>
      <c r="E6" s="19" t="n">
        <v>3</v>
      </c>
      <c r="F6" s="19" t="n">
        <v>5</v>
      </c>
      <c r="G6" s="19">
        <f>E6*F6</f>
        <v/>
      </c>
      <c r="H6" s="19">
        <f>IF(G6&gt;=15,"CRITICAL",IF(G6&gt;=10,"HIGH",IF(G6&gt;=5,"MEDIUM","LOW")))</f>
        <v/>
      </c>
      <c r="I6" s="19" t="inlineStr">
        <is>
          <t>Accept</t>
        </is>
      </c>
      <c r="J6" s="19" t="inlineStr">
        <is>
          <t>Monitor cloud provider status page; schedule cutover windows during low-risk periods; multi-region failover design</t>
        </is>
      </c>
      <c r="K6" s="19" t="inlineStr">
        <is>
          <t>DE</t>
        </is>
      </c>
      <c r="L6" s="19" t="n">
        <v>10</v>
      </c>
      <c r="M6" s="19">
        <f>L6*650</f>
        <v/>
      </c>
    </row>
    <row r="7">
      <c r="A7" s="19" t="inlineStr">
        <is>
          <t>R06</t>
        </is>
      </c>
      <c r="B7" s="19" t="inlineStr">
        <is>
          <t>Scope creep from late-discovered applications not in original inventory</t>
        </is>
      </c>
      <c r="C7" s="19" t="inlineStr">
        <is>
          <t>Scope</t>
        </is>
      </c>
      <c r="D7" s="19" t="inlineStr">
        <is>
          <t>1, 2</t>
        </is>
      </c>
      <c r="E7" s="19" t="n">
        <v>4</v>
      </c>
      <c r="F7" s="19" t="n">
        <v>3</v>
      </c>
      <c r="G7" s="19">
        <f>E7*F7</f>
        <v/>
      </c>
      <c r="H7" s="19">
        <f>IF(G7&gt;=15,"CRITICAL",IF(G7&gt;=10,"HIGH",IF(G7&gt;=5,"MEDIUM","LOW")))</f>
        <v/>
      </c>
      <c r="I7" s="19" t="inlineStr">
        <is>
          <t>Mitigate</t>
        </is>
      </c>
      <c r="J7" s="19" t="inlineStr">
        <is>
          <t>Strict scope freeze after Phase 1 sign-off; formal change control board; contractual scope boundary clause</t>
        </is>
      </c>
      <c r="K7" s="19" t="inlineStr">
        <is>
          <t>PM</t>
        </is>
      </c>
      <c r="L7" s="19" t="n">
        <v>15</v>
      </c>
      <c r="M7" s="19">
        <f>L7*650</f>
        <v/>
      </c>
    </row>
    <row r="8">
      <c r="A8" s="19" t="inlineStr">
        <is>
          <t>R07</t>
        </is>
      </c>
      <c r="B8" s="19" t="inlineStr">
        <is>
          <t>Security compliance gap identified in hardened cloud environment</t>
        </is>
      </c>
      <c r="C8" s="19" t="inlineStr">
        <is>
          <t>Security</t>
        </is>
      </c>
      <c r="D8" s="19" t="inlineStr">
        <is>
          <t>3, 4, 5, 6</t>
        </is>
      </c>
      <c r="E8" s="19" t="n">
        <v>3</v>
      </c>
      <c r="F8" s="19" t="n">
        <v>4</v>
      </c>
      <c r="G8" s="19">
        <f>E8*F8</f>
        <v/>
      </c>
      <c r="H8" s="19">
        <f>IF(G8&gt;=15,"CRITICAL",IF(G8&gt;=10,"HIGH",IF(G8&gt;=5,"MEDIUM","LOW")))</f>
        <v/>
      </c>
      <c r="I8" s="19" t="inlineStr">
        <is>
          <t>Mitigate</t>
        </is>
      </c>
      <c r="J8" s="19" t="inlineStr">
        <is>
          <t>Cloud Security Posture Management (CSPM) tool from day one; automated policy-as-code enforcement; quarterly security reviews</t>
        </is>
      </c>
      <c r="K8" s="19" t="inlineStr">
        <is>
          <t>SE</t>
        </is>
      </c>
      <c r="L8" s="19" t="n">
        <v>12</v>
      </c>
      <c r="M8" s="19">
        <f>L8*650</f>
        <v/>
      </c>
    </row>
    <row r="9">
      <c r="A9" s="19" t="inlineStr">
        <is>
          <t>R08</t>
        </is>
      </c>
      <c r="B9" s="19" t="inlineStr">
        <is>
          <t>Network performance degradation post-migration due to latency or bandwidth issues</t>
        </is>
      </c>
      <c r="C9" s="19" t="inlineStr">
        <is>
          <t>Technical</t>
        </is>
      </c>
      <c r="D9" s="19" t="inlineStr">
        <is>
          <t>4, 5, 6, 7</t>
        </is>
      </c>
      <c r="E9" s="19" t="n">
        <v>3</v>
      </c>
      <c r="F9" s="19" t="n">
        <v>4</v>
      </c>
      <c r="G9" s="19">
        <f>E9*F9</f>
        <v/>
      </c>
      <c r="H9" s="19">
        <f>IF(G9&gt;=15,"CRITICAL",IF(G9&gt;=10,"HIGH",IF(G9&gt;=5,"MEDIUM","LOW")))</f>
        <v/>
      </c>
      <c r="I9" s="19" t="inlineStr">
        <is>
          <t>Mitigate</t>
        </is>
      </c>
      <c r="J9" s="19" t="inlineStr">
        <is>
          <t>Network baseline measurement before migration; performance SLA defined; CDN and caching optimisation</t>
        </is>
      </c>
      <c r="K9" s="19" t="inlineStr">
        <is>
          <t>DE</t>
        </is>
      </c>
      <c r="L9" s="19" t="n">
        <v>8</v>
      </c>
      <c r="M9" s="19">
        <f>L9*650</f>
        <v/>
      </c>
    </row>
    <row r="10">
      <c r="A10" t="inlineStr">
        <is>
          <t>R09</t>
        </is>
      </c>
      <c r="B10" t="inlineStr">
        <is>
          <t>CI/CD pipeline instability blocking deployments</t>
        </is>
      </c>
      <c r="C10" t="inlineStr">
        <is>
          <t>Technical</t>
        </is>
      </c>
      <c r="D10" t="inlineStr">
        <is>
          <t>3, 4</t>
        </is>
      </c>
      <c r="E10" t="n">
        <v>3</v>
      </c>
      <c r="F10" t="n">
        <v>3</v>
      </c>
      <c r="G10">
        <f>E10*F10</f>
        <v/>
      </c>
      <c r="H10">
        <f>IF(G10&gt;=15,"CRITICAL",IF(G10&gt;=10,"HIGH",IF(G10&gt;=5,"MEDIUM","LOW")))</f>
        <v/>
      </c>
      <c r="I10" t="inlineStr">
        <is>
          <t>Mitigate</t>
        </is>
      </c>
      <c r="J10" t="inlineStr">
        <is>
          <t>Pipeline validation gates; blue-green deployment fallback; dedicated pipeline engineer during setup</t>
        </is>
      </c>
      <c r="K10" t="inlineStr">
        <is>
          <t>DE</t>
        </is>
      </c>
      <c r="L10" t="n">
        <v>6</v>
      </c>
      <c r="M10">
        <f>L10*650</f>
        <v/>
      </c>
    </row>
    <row r="11">
      <c r="A11" s="19" t="inlineStr">
        <is>
          <t>R10</t>
        </is>
      </c>
      <c r="B11" s="19" t="inlineStr">
        <is>
          <t>Key personnel departure during critical migration waves</t>
        </is>
      </c>
      <c r="C11" s="19" t="inlineStr">
        <is>
          <t>Organizational</t>
        </is>
      </c>
      <c r="D11" s="19" t="inlineStr">
        <is>
          <t>5, 6</t>
        </is>
      </c>
      <c r="E11" s="19" t="n">
        <v>3</v>
      </c>
      <c r="F11" s="19" t="n">
        <v>4</v>
      </c>
      <c r="G11" s="19">
        <f>E11*F11</f>
        <v/>
      </c>
      <c r="H11" s="19">
        <f>IF(G11&gt;=15,"CRITICAL",IF(G11&gt;=10,"HIGH",IF(G11&gt;=5,"MEDIUM","LOW")))</f>
        <v/>
      </c>
      <c r="I11" s="19" t="inlineStr">
        <is>
          <t>Mitigate</t>
        </is>
      </c>
      <c r="J11" s="19" t="inlineStr">
        <is>
          <t>Knowledge documentation and runbooks maintained continuously; bench resource pre-identified; retention incentives</t>
        </is>
      </c>
      <c r="K11" s="19" t="inlineStr">
        <is>
          <t>PM</t>
        </is>
      </c>
      <c r="L11" s="19" t="n">
        <v>16</v>
      </c>
      <c r="M11" s="19">
        <f>L11*650</f>
        <v/>
      </c>
    </row>
    <row r="12">
      <c r="A12" s="19" t="inlineStr">
        <is>
          <t>R11</t>
        </is>
      </c>
      <c r="B12" s="19" t="inlineStr">
        <is>
          <t>Third-party integrations not compatible with new cloud endpoints</t>
        </is>
      </c>
      <c r="C12" s="19" t="inlineStr">
        <is>
          <t>External</t>
        </is>
      </c>
      <c r="D12" s="19" t="inlineStr">
        <is>
          <t>4, 5, 6</t>
        </is>
      </c>
      <c r="E12" s="19" t="n">
        <v>4</v>
      </c>
      <c r="F12" s="19" t="n">
        <v>3</v>
      </c>
      <c r="G12" s="19">
        <f>E12*F12</f>
        <v/>
      </c>
      <c r="H12" s="19">
        <f>IF(G12&gt;=15,"CRITICAL",IF(G12&gt;=10,"HIGH",IF(G12&gt;=5,"MEDIUM","LOW")))</f>
        <v/>
      </c>
      <c r="I12" s="19" t="inlineStr">
        <is>
          <t>Mitigate</t>
        </is>
      </c>
      <c r="J12" s="19" t="inlineStr">
        <is>
          <t>API contract testing in parallel with migration; stub servers for dependent systems; early vendor engagement</t>
        </is>
      </c>
      <c r="K12" s="19" t="inlineStr">
        <is>
          <t>CA</t>
        </is>
      </c>
      <c r="L12" s="19" t="n">
        <v>12</v>
      </c>
      <c r="M12" s="19">
        <f>L12*650</f>
        <v/>
      </c>
    </row>
    <row r="13">
      <c r="A13" t="inlineStr">
        <is>
          <t>R12</t>
        </is>
      </c>
      <c r="B13" t="inlineStr">
        <is>
          <t>Unexpected licensing costs from cloud services exceeding budget</t>
        </is>
      </c>
      <c r="C13" t="inlineStr">
        <is>
          <t>Financial</t>
        </is>
      </c>
      <c r="D13" t="inlineStr">
        <is>
          <t>1, 3</t>
        </is>
      </c>
      <c r="E13" t="n">
        <v>3</v>
      </c>
      <c r="F13" t="n">
        <v>3</v>
      </c>
      <c r="G13">
        <f>E13*F13</f>
        <v/>
      </c>
      <c r="H13">
        <f>IF(G13&gt;=15,"CRITICAL",IF(G13&gt;=10,"HIGH",IF(G13&gt;=5,"MEDIUM","LOW")))</f>
        <v/>
      </c>
      <c r="I13" t="inlineStr">
        <is>
          <t>Accept</t>
        </is>
      </c>
      <c r="J13" t="inlineStr">
        <is>
          <t>Reserved instance pricing; tagging strategy for cost allocation; monthly FinOps review; budget alerts</t>
        </is>
      </c>
      <c r="K13" t="inlineStr">
        <is>
          <t>PM</t>
        </is>
      </c>
      <c r="L13" t="n">
        <v>5</v>
      </c>
      <c r="M13">
        <f>L13*650</f>
        <v/>
      </c>
    </row>
    <row r="14">
      <c r="A14" s="19" t="inlineStr">
        <is>
          <t>R13</t>
        </is>
      </c>
      <c r="B14" s="19" t="inlineStr">
        <is>
          <t>Inadequate rollback capability for Wave 3 critical applications</t>
        </is>
      </c>
      <c r="C14" s="19" t="inlineStr">
        <is>
          <t>Technical</t>
        </is>
      </c>
      <c r="D14" s="19" t="inlineStr">
        <is>
          <t>6, 7</t>
        </is>
      </c>
      <c r="E14" s="19" t="n">
        <v>3</v>
      </c>
      <c r="F14" s="19" t="n">
        <v>5</v>
      </c>
      <c r="G14" s="19">
        <f>E14*F14</f>
        <v/>
      </c>
      <c r="H14" s="19">
        <f>IF(G14&gt;=15,"CRITICAL",IF(G14&gt;=10,"HIGH",IF(G14&gt;=5,"MEDIUM","LOW")))</f>
        <v/>
      </c>
      <c r="I14" s="19" t="inlineStr">
        <is>
          <t>Mitigate</t>
        </is>
      </c>
      <c r="J14" s="19" t="inlineStr">
        <is>
          <t>Full rollback plan tested in rehearsal; parallel-run mode for critical apps before DNS cutover; data replication maintained</t>
        </is>
      </c>
      <c r="K14" s="19" t="inlineStr">
        <is>
          <t>CA</t>
        </is>
      </c>
      <c r="L14" s="19" t="n">
        <v>20</v>
      </c>
      <c r="M14" s="19">
        <f>L14*650</f>
        <v/>
      </c>
    </row>
    <row r="15">
      <c r="A15" t="inlineStr">
        <is>
          <t>R14</t>
        </is>
      </c>
      <c r="B15" t="inlineStr">
        <is>
          <t>Regulatory or compliance audit triggered mid-migration</t>
        </is>
      </c>
      <c r="C15" t="inlineStr">
        <is>
          <t>External</t>
        </is>
      </c>
      <c r="D15" t="inlineStr">
        <is>
          <t>2, 3</t>
        </is>
      </c>
      <c r="E15" t="n">
        <v>2</v>
      </c>
      <c r="F15" t="n">
        <v>4</v>
      </c>
      <c r="G15">
        <f>E15*F15</f>
        <v/>
      </c>
      <c r="H15">
        <f>IF(G15&gt;=15,"CRITICAL",IF(G15&gt;=10,"HIGH",IF(G15&gt;=5,"MEDIUM","LOW")))</f>
        <v/>
      </c>
      <c r="I15" t="inlineStr">
        <is>
          <t>Accept</t>
        </is>
      </c>
      <c r="J15" t="inlineStr">
        <is>
          <t>Proactive compliance documentation; maintain audit trail of all infrastructure changes; pre-engage compliance officer</t>
        </is>
      </c>
      <c r="K15" t="inlineStr">
        <is>
          <t>PM</t>
        </is>
      </c>
      <c r="L15" t="n">
        <v>8</v>
      </c>
      <c r="M15">
        <f>L15*650</f>
        <v/>
      </c>
    </row>
    <row r="16">
      <c r="A16" t="inlineStr">
        <is>
          <t>R15</t>
        </is>
      </c>
      <c r="B16" t="inlineStr">
        <is>
          <t>Client stakeholder unavailability for UAT sign-off causing schedule slippage</t>
        </is>
      </c>
      <c r="C16" t="inlineStr">
        <is>
          <t>Organizational</t>
        </is>
      </c>
      <c r="D16" t="inlineStr">
        <is>
          <t>5, 6, 7</t>
        </is>
      </c>
      <c r="E16" t="n">
        <v>3</v>
      </c>
      <c r="F16" t="n">
        <v>3</v>
      </c>
      <c r="G16">
        <f>E16*F16</f>
        <v/>
      </c>
      <c r="H16">
        <f>IF(G16&gt;=15,"CRITICAL",IF(G16&gt;=10,"HIGH",IF(G16&gt;=5,"MEDIUM","LOW")))</f>
        <v/>
      </c>
      <c r="I16" t="inlineStr">
        <is>
          <t>Mitigate</t>
        </is>
      </c>
      <c r="J16" t="inlineStr">
        <is>
          <t>Formal UAT participation agreement; dedicated UAT coordination resource; asynchronous review tooling</t>
        </is>
      </c>
      <c r="K16" t="inlineStr">
        <is>
          <t>PM</t>
        </is>
      </c>
      <c r="L16" t="n">
        <v>8</v>
      </c>
      <c r="M16">
        <f>L16*650</f>
        <v/>
      </c>
    </row>
    <row r="18">
      <c r="A18" s="11" t="inlineStr">
        <is>
          <t>TOTAL</t>
        </is>
      </c>
      <c r="L18" s="11">
        <f>SUM(L2:L16)</f>
        <v/>
      </c>
      <c r="M18" s="11">
        <f>SUM(M2:M16)</f>
        <v/>
      </c>
    </row>
    <row r="19">
      <c r="A19" t="inlineStr">
        <is>
          <t>Management Reserve</t>
        </is>
      </c>
      <c r="L19">
        <f>(WBS!H67*(1+0.1+0.05)+L18)*0.2</f>
        <v/>
      </c>
      <c r="M19">
        <f>(WBS!H67*(1+0.1+0.05)+L18)*0.2*650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Phase</t>
        </is>
      </c>
      <c r="B1" s="1" t="inlineStr">
        <is>
          <t>Description</t>
        </is>
      </c>
      <c r="C1" s="1" t="inlineStr">
        <is>
          <t>Best Effort (pd)</t>
        </is>
      </c>
      <c r="D1" s="1" t="inlineStr">
        <is>
          <t>Likely Effort (pd)</t>
        </is>
      </c>
      <c r="E1" s="1" t="inlineStr">
        <is>
          <t>Worst Effort (pd)</t>
        </is>
      </c>
      <c r="F1" s="1" t="inlineStr">
        <is>
          <t>PERT Effort (pd)</t>
        </is>
      </c>
      <c r="G1" s="1" t="inlineStr">
        <is>
          <t>Best Duration (d)</t>
        </is>
      </c>
      <c r="H1" s="1" t="inlineStr">
        <is>
          <t>Likely Duration (d)</t>
        </is>
      </c>
      <c r="I1" s="1" t="inlineStr">
        <is>
          <t>Worst Duration (d)</t>
        </is>
      </c>
      <c r="J1" s="1" t="inlineStr">
        <is>
          <t>PERT Duration (d)</t>
        </is>
      </c>
      <c r="K1" s="1" t="inlineStr">
        <is>
          <t>σ Duration</t>
        </is>
      </c>
    </row>
    <row r="2">
      <c r="A2" s="2">
        <f>WBS!B2</f>
        <v/>
      </c>
      <c r="B2" s="2" t="inlineStr">
        <is>
          <t>Inventory and assess current-state infrastructure and application portfolio</t>
        </is>
      </c>
      <c r="C2" s="4">
        <f>WBS!E2</f>
        <v/>
      </c>
      <c r="D2" s="4">
        <f>WBS!F2</f>
        <v/>
      </c>
      <c r="E2" s="4">
        <f>WBS!G2</f>
        <v/>
      </c>
      <c r="F2" s="4">
        <f>WBS!H2</f>
        <v/>
      </c>
      <c r="G2" s="4">
        <f>WBS!I2</f>
        <v/>
      </c>
      <c r="H2" s="4">
        <f>WBS!J2</f>
        <v/>
      </c>
      <c r="I2" s="4">
        <f>WBS!K2</f>
        <v/>
      </c>
      <c r="J2" s="4">
        <f>WBS!L2</f>
        <v/>
      </c>
      <c r="K2" s="4">
        <f>WBS!M2</f>
        <v/>
      </c>
    </row>
    <row r="3">
      <c r="A3" s="2">
        <f>WBS!B11</f>
        <v/>
      </c>
      <c r="B3" s="2" t="inlineStr">
        <is>
          <t>Design the target cloud architecture and produce the detailed migration plan</t>
        </is>
      </c>
      <c r="C3" s="4">
        <f>WBS!E11</f>
        <v/>
      </c>
      <c r="D3" s="4">
        <f>WBS!F11</f>
        <v/>
      </c>
      <c r="E3" s="4">
        <f>WBS!G11</f>
        <v/>
      </c>
      <c r="F3" s="4">
        <f>WBS!H11</f>
        <v/>
      </c>
      <c r="G3" s="4">
        <f>WBS!I11</f>
        <v/>
      </c>
      <c r="H3" s="4">
        <f>WBS!J11</f>
        <v/>
      </c>
      <c r="I3" s="4">
        <f>WBS!K11</f>
        <v/>
      </c>
      <c r="J3" s="4">
        <f>WBS!L11</f>
        <v/>
      </c>
      <c r="K3" s="4">
        <f>WBS!M11</f>
        <v/>
      </c>
    </row>
    <row r="4">
      <c r="A4" s="2">
        <f>WBS!B21</f>
        <v/>
      </c>
      <c r="B4" s="2" t="inlineStr">
        <is>
          <t>Provision and configure the target cloud landing zone and platform services</t>
        </is>
      </c>
      <c r="C4" s="4">
        <f>WBS!E21</f>
        <v/>
      </c>
      <c r="D4" s="4">
        <f>WBS!F21</f>
        <v/>
      </c>
      <c r="E4" s="4">
        <f>WBS!G21</f>
        <v/>
      </c>
      <c r="F4" s="4">
        <f>WBS!H21</f>
        <v/>
      </c>
      <c r="G4" s="4">
        <f>WBS!I21</f>
        <v/>
      </c>
      <c r="H4" s="4">
        <f>WBS!J21</f>
        <v/>
      </c>
      <c r="I4" s="4">
        <f>WBS!K21</f>
        <v/>
      </c>
      <c r="J4" s="4">
        <f>WBS!L21</f>
        <v/>
      </c>
      <c r="K4" s="4">
        <f>WBS!M21</f>
        <v/>
      </c>
    </row>
    <row r="5">
      <c r="A5" s="2">
        <f>WBS!B31</f>
        <v/>
      </c>
      <c r="B5" s="2" t="inlineStr">
        <is>
          <t>Migrate 4 lower-complexity applications to the cloud environment</t>
        </is>
      </c>
      <c r="C5" s="4">
        <f>WBS!E31</f>
        <v/>
      </c>
      <c r="D5" s="4">
        <f>WBS!F31</f>
        <v/>
      </c>
      <c r="E5" s="4">
        <f>WBS!G31</f>
        <v/>
      </c>
      <c r="F5" s="4">
        <f>WBS!H31</f>
        <v/>
      </c>
      <c r="G5" s="4">
        <f>WBS!I31</f>
        <v/>
      </c>
      <c r="H5" s="4">
        <f>WBS!J31</f>
        <v/>
      </c>
      <c r="I5" s="4">
        <f>WBS!K31</f>
        <v/>
      </c>
      <c r="J5" s="4">
        <f>WBS!L31</f>
        <v/>
      </c>
      <c r="K5" s="4">
        <f>WBS!M31</f>
        <v/>
      </c>
    </row>
    <row r="6">
      <c r="A6" s="2">
        <f>WBS!B40</f>
        <v/>
      </c>
      <c r="B6" s="2" t="inlineStr">
        <is>
          <t>Migrate 4 medium-complexity applications to the cloud environment</t>
        </is>
      </c>
      <c r="C6" s="4">
        <f>WBS!E40</f>
        <v/>
      </c>
      <c r="D6" s="4">
        <f>WBS!F40</f>
        <v/>
      </c>
      <c r="E6" s="4">
        <f>WBS!G40</f>
        <v/>
      </c>
      <c r="F6" s="4">
        <f>WBS!H40</f>
        <v/>
      </c>
      <c r="G6" s="4">
        <f>WBS!I40</f>
        <v/>
      </c>
      <c r="H6" s="4">
        <f>WBS!J40</f>
        <v/>
      </c>
      <c r="I6" s="4">
        <f>WBS!K40</f>
        <v/>
      </c>
      <c r="J6" s="4">
        <f>WBS!L40</f>
        <v/>
      </c>
      <c r="K6" s="4">
        <f>WBS!M40</f>
        <v/>
      </c>
    </row>
    <row r="7">
      <c r="A7" s="2">
        <f>WBS!B49</f>
        <v/>
      </c>
      <c r="B7" s="2" t="inlineStr">
        <is>
          <t>Migrate 4 high-complexity, business-critical applications to cloud</t>
        </is>
      </c>
      <c r="C7" s="4">
        <f>WBS!E49</f>
        <v/>
      </c>
      <c r="D7" s="4">
        <f>WBS!F49</f>
        <v/>
      </c>
      <c r="E7" s="4">
        <f>WBS!G49</f>
        <v/>
      </c>
      <c r="F7" s="4">
        <f>WBS!H49</f>
        <v/>
      </c>
      <c r="G7" s="4">
        <f>WBS!I49</f>
        <v/>
      </c>
      <c r="H7" s="4">
        <f>WBS!J49</f>
        <v/>
      </c>
      <c r="I7" s="4">
        <f>WBS!K49</f>
        <v/>
      </c>
      <c r="J7" s="4">
        <f>WBS!L49</f>
        <v/>
      </c>
      <c r="K7" s="4">
        <f>WBS!M49</f>
        <v/>
      </c>
    </row>
    <row r="8">
      <c r="A8" s="2">
        <f>WBS!B58</f>
        <v/>
      </c>
      <c r="B8" s="2" t="inlineStr">
        <is>
          <t>System-wide non-functional testing, UAT, production cutover and hypercare stabilisation</t>
        </is>
      </c>
      <c r="C8" s="4">
        <f>WBS!E58</f>
        <v/>
      </c>
      <c r="D8" s="4">
        <f>WBS!F58</f>
        <v/>
      </c>
      <c r="E8" s="4">
        <f>WBS!G58</f>
        <v/>
      </c>
      <c r="F8" s="4">
        <f>WBS!H58</f>
        <v/>
      </c>
      <c r="G8" s="4">
        <f>WBS!I58</f>
        <v/>
      </c>
      <c r="H8" s="4">
        <f>WBS!J58</f>
        <v/>
      </c>
      <c r="I8" s="4">
        <f>WBS!K58</f>
        <v/>
      </c>
      <c r="J8" s="4">
        <f>WBS!L58</f>
        <v/>
      </c>
      <c r="K8" s="4">
        <f>WBS!M58</f>
        <v/>
      </c>
    </row>
    <row r="9">
      <c r="A9" s="11" t="inlineStr">
        <is>
          <t>TOTAL</t>
        </is>
      </c>
      <c r="B9" s="11" t="n"/>
      <c r="C9" s="13">
        <f>SUM(C2:C8)</f>
        <v/>
      </c>
      <c r="D9" s="13">
        <f>SUM(D2:D8)</f>
        <v/>
      </c>
      <c r="E9" s="13">
        <f>SUM(E2:E8)</f>
        <v/>
      </c>
      <c r="F9" s="13">
        <f>SUM(F2:F8)</f>
        <v/>
      </c>
      <c r="G9" s="13">
        <f>SUM(G2:G8)</f>
        <v/>
      </c>
      <c r="H9" s="13">
        <f>SUM(H2:H8)</f>
        <v/>
      </c>
      <c r="I9" s="13">
        <f>SUM(I2:I8)</f>
        <v/>
      </c>
      <c r="J9" s="13">
        <f>SUM(J2:J8)</f>
        <v/>
      </c>
      <c r="K9" s="13">
        <f>SUM(K2:K8)</f>
        <v/>
      </c>
    </row>
    <row r="11">
      <c r="A11" t="inlineStr">
        <is>
          <t>Tech PERT Effort (PD)</t>
        </is>
      </c>
      <c r="B11">
        <f>F9</f>
        <v/>
      </c>
    </row>
    <row r="12">
      <c r="A12" t="inlineStr">
        <is>
          <t>PM Overhead (+10%) (PD)</t>
        </is>
      </c>
      <c r="B12">
        <f>B11*0.1</f>
        <v/>
      </c>
    </row>
    <row r="13">
      <c r="A13" t="inlineStr">
        <is>
          <t>DevOps Overhead (+5%) (PD)</t>
        </is>
      </c>
      <c r="B13">
        <f>B11*0.05</f>
        <v/>
      </c>
    </row>
    <row r="14">
      <c r="A14" t="inlineStr">
        <is>
          <t>Subtotal Tech + Overhead (PD)</t>
        </is>
      </c>
      <c r="B14">
        <f>B11+B12+B13</f>
        <v/>
      </c>
    </row>
    <row r="15">
      <c r="A15" t="inlineStr">
        <is>
          <t>Contingency per-risk (PD)</t>
        </is>
      </c>
      <c r="B15">
        <f>Risks!L18</f>
        <v/>
      </c>
    </row>
    <row r="16">
      <c r="A16" t="inlineStr">
        <is>
          <t>Low Band</t>
        </is>
      </c>
      <c r="B16">
        <f>B14+B15</f>
        <v/>
      </c>
    </row>
    <row r="17">
      <c r="A17" t="inlineStr">
        <is>
          <t>Management Reserve (20%) (PD)</t>
        </is>
      </c>
      <c r="B17">
        <f>B16*0.2</f>
        <v/>
      </c>
    </row>
    <row r="18">
      <c r="A18" t="inlineStr">
        <is>
          <t>Medium Band (recommended)</t>
        </is>
      </c>
      <c r="B18">
        <f>B16+B17</f>
        <v/>
      </c>
    </row>
    <row r="19">
      <c r="A19" t="inlineStr">
        <is>
          <t>High Band</t>
        </is>
      </c>
      <c r="B19">
        <f>B18*(1+0.12)</f>
        <v/>
      </c>
    </row>
    <row r="20">
      <c r="A20" t="inlineStr">
        <is>
          <t>Total Billable Effort (PD)</t>
        </is>
      </c>
      <c r="B20">
        <f>WBS!S67</f>
        <v/>
      </c>
    </row>
    <row r="21">
      <c r="A21" t="inlineStr">
        <is>
          <t>Billable Ratio</t>
        </is>
      </c>
      <c r="B21">
        <f>B20/B11</f>
        <v/>
      </c>
    </row>
    <row r="23">
      <c r="A23" t="inlineStr">
        <is>
          <t>Calendar Duration (weeks)</t>
        </is>
      </c>
      <c r="B23" s="20" t="n">
        <v>50</v>
      </c>
    </row>
    <row r="25">
      <c r="A25" s="21" t="inlineStr">
        <is>
          <t>Effort by Team (PD)</t>
        </is>
      </c>
    </row>
    <row r="26">
      <c r="A26" t="inlineStr">
        <is>
          <t>Management</t>
        </is>
      </c>
      <c r="B26" s="17" t="n">
        <v>20</v>
      </c>
    </row>
    <row r="27">
      <c r="A27" t="inlineStr">
        <is>
          <t>Technical</t>
        </is>
      </c>
      <c r="B27" s="17" t="n">
        <v>303.3333333333333</v>
      </c>
    </row>
    <row r="29">
      <c r="A29" s="21" t="inlineStr">
        <is>
          <t>Sensitivity Scenarios</t>
        </is>
      </c>
    </row>
    <row r="30">
      <c r="A30" t="inlineStr">
        <is>
          <t>Optimistic: ~85% of Fascia MEDIA — best-case execution for 4-cloud-migration</t>
        </is>
      </c>
    </row>
    <row r="31">
      <c r="A31" t="inlineStr">
        <is>
          <t>Realistic: Fascia MEDIA — current best estimate including overhead and MR</t>
        </is>
      </c>
    </row>
    <row r="32">
      <c r="A32" t="inlineStr">
        <is>
          <t>Pessimistic: ~115% of Fascia MEDIA — material slippage on critical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2026-09-29T17:41:18Z</dcterms:created>
  <dcterms:modified xmlns:dcterms="http://purl.org/dc/terms/" xmlns:xsi="http://www.w3.org/2001/XMLSchema-instance" xsi:type="dcterms:W3CDTF">2026-09-29T17:41:18Z</dcterms:modified>
</cp:coreProperties>
</file>